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  <sheet state="visible" name="Total Expenses by Month" sheetId="2" r:id="rId6"/>
    <sheet state="visible" name="Total Expenses by Payment Metho" sheetId="3" r:id="rId7"/>
    <sheet state="visible" name="Total Expenses by Category" sheetId="4" r:id="rId8"/>
    <sheet state="visible" name="Pivot Data" sheetId="5" r:id="rId9"/>
    <sheet state="visible" name="Dashboard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<sst xmlns="http://schemas.openxmlformats.org/spreadsheetml/2006/main" count="457" uniqueCount="94">
  <si>
    <t>Date</t>
  </si>
  <si>
    <t>Category</t>
  </si>
  <si>
    <t>Description</t>
  </si>
  <si>
    <t xml:space="preserve">Payment Method </t>
  </si>
  <si>
    <t xml:space="preserve">Amount </t>
  </si>
  <si>
    <t>Month</t>
  </si>
  <si>
    <t>Office Supplies</t>
  </si>
  <si>
    <t>Printer Paper</t>
  </si>
  <si>
    <t>Cash</t>
  </si>
  <si>
    <t>January</t>
  </si>
  <si>
    <t>Utilities</t>
  </si>
  <si>
    <t>Internet Bill</t>
  </si>
  <si>
    <t>Bank Transfer</t>
  </si>
  <si>
    <t>Travel</t>
  </si>
  <si>
    <t>Taxi Fare</t>
  </si>
  <si>
    <t>Meals</t>
  </si>
  <si>
    <t>Team Lunch</t>
  </si>
  <si>
    <t>Credit Card</t>
  </si>
  <si>
    <t>Pens &amp; Markers</t>
  </si>
  <si>
    <t>Software</t>
  </si>
  <si>
    <t>Microsoft 365</t>
  </si>
  <si>
    <t>Electricity Bill</t>
  </si>
  <si>
    <t>Fuel</t>
  </si>
  <si>
    <t>Marketing</t>
  </si>
  <si>
    <t>Facebook Ads</t>
  </si>
  <si>
    <t>File Folders</t>
  </si>
  <si>
    <t>Maintenance</t>
  </si>
  <si>
    <t>Office Cleaning</t>
  </si>
  <si>
    <t>Zoom Subscription</t>
  </si>
  <si>
    <t>Client Meeting</t>
  </si>
  <si>
    <t>Water Bill</t>
  </si>
  <si>
    <t>Bus Ticket</t>
  </si>
  <si>
    <t>Google Ads</t>
  </si>
  <si>
    <t>Sticky Notes</t>
  </si>
  <si>
    <t>AC Repair</t>
  </si>
  <si>
    <t>Office Snacks</t>
  </si>
  <si>
    <t>Canva Pro</t>
  </si>
  <si>
    <t>Mobile Bill</t>
  </si>
  <si>
    <t>Parking Fee</t>
  </si>
  <si>
    <t>Banner Printing</t>
  </si>
  <si>
    <t>Notebook Purchase</t>
  </si>
  <si>
    <t>Computer Repair</t>
  </si>
  <si>
    <t>Ride Sharing</t>
  </si>
  <si>
    <t>Stapler</t>
  </si>
  <si>
    <t>Adobe Acrobat</t>
  </si>
  <si>
    <t>Water Delivery</t>
  </si>
  <si>
    <t>Instagram Ads</t>
  </si>
  <si>
    <t>Staff Dinner</t>
  </si>
  <si>
    <t>Printer Ink</t>
  </si>
  <si>
    <t>February</t>
  </si>
  <si>
    <t>Dropbox</t>
  </si>
  <si>
    <t>Office Repair</t>
  </si>
  <si>
    <t>A4 Paper</t>
  </si>
  <si>
    <t>Client Lunch</t>
  </si>
  <si>
    <t>LinkedIn Ads</t>
  </si>
  <si>
    <t>Grammarly</t>
  </si>
  <si>
    <t>Printer Service</t>
  </si>
  <si>
    <t>Pens</t>
  </si>
  <si>
    <t>Flyer Printing</t>
  </si>
  <si>
    <t>Notion</t>
  </si>
  <si>
    <t>Air Conditioner Service</t>
  </si>
  <si>
    <t>Whiteboard Markers</t>
  </si>
  <si>
    <t>Team Coffee</t>
  </si>
  <si>
    <t>Slack</t>
  </si>
  <si>
    <t>Window Cleaning</t>
  </si>
  <si>
    <t>Files</t>
  </si>
  <si>
    <t>March</t>
  </si>
  <si>
    <t xml:space="preserve">SUM of Amount </t>
  </si>
  <si>
    <t>YouTube Ads</t>
  </si>
  <si>
    <t>April</t>
  </si>
  <si>
    <t>Computer Upgrade</t>
  </si>
  <si>
    <t>Grand Total</t>
  </si>
  <si>
    <t>Envelopes</t>
  </si>
  <si>
    <t>Client Dinner</t>
  </si>
  <si>
    <t>Banner Design</t>
  </si>
  <si>
    <t>Generator Service</t>
  </si>
  <si>
    <t>Notebook</t>
  </si>
  <si>
    <t>A1:B8</t>
  </si>
  <si>
    <t>Social Media Ads</t>
  </si>
  <si>
    <t>Staff Lunch</t>
  </si>
  <si>
    <t>Plumbing Repair</t>
  </si>
  <si>
    <t>Email Campaign</t>
  </si>
  <si>
    <t>Printer Toner</t>
  </si>
  <si>
    <t>Flight Ticket</t>
  </si>
  <si>
    <t>Client Breakfast</t>
  </si>
  <si>
    <t>Adobe Creative Cloud</t>
  </si>
  <si>
    <t>Office Painting</t>
  </si>
  <si>
    <t>Hotel Booking</t>
  </si>
  <si>
    <t>Desk Organizer</t>
  </si>
  <si>
    <t>Office Internet</t>
  </si>
  <si>
    <t>Total Expenses</t>
  </si>
  <si>
    <t>Average Expenses</t>
  </si>
  <si>
    <t>Transactions</t>
  </si>
  <si>
    <t>Highest Expense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</si>
</sst>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d-mmm-yyyy"/>
    <numFmt numFmtId="166" formatCode="&quot;Rs &quot; #,##0"/>
    <numFmt numFmtId="167" formatCode="[$Rs]#,##0.00"/>
  </numFmts>
  <fonts count="4">
    <font>
      <sz val="10.0"/>
      <color rgb="FF000000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color theme="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Font="1" applyNumberFormat="1"/>
    <xf borderId="0" fillId="0" fontId="2" numFmtId="3" xfId="0" applyFont="1" applyNumberFormat="1"/>
    <xf borderId="0" fillId="0" fontId="2" numFmtId="166" xfId="0" applyFont="1" applyNumberFormat="1"/>
    <xf borderId="0" fillId="0" fontId="2" numFmtId="0" xfId="0" applyFont="1"/>
    <xf borderId="1" fillId="2" fontId="3" numFmtId="0" xfId="0" applyAlignment="1" applyBorder="1" applyFont="1">
      <alignment readingOrder="0"/>
    </xf>
    <xf borderId="1" fillId="0" fontId="2" numFmtId="166" xfId="0" applyBorder="1" applyFont="1" applyNumberFormat="1"/>
    <xf borderId="1" fillId="0" fontId="2" numFmtId="167" xfId="0" applyBorder="1" applyFont="1" applyNumberFormat="1"/>
    <xf borderId="1" fillId="0" fontId="2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Expenses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'Total Expenses by Month'!$B$1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'Total Expenses by Month'!$A$2:$A$5</c:f>
            </c:strRef>
          </c:cat>
          <c:val>
            <c:numRef>
              <c:f>'Total Expenses by Month'!$B$2:$B$5</c:f>
              <c:numCache/>
            </c:numRef>
          </c:val>
        </c:ser>
        <c:axId val="1400846821"/>
        <c:axId val="1617371704"/>
      </c:barChart>
      <c:catAx>
        <c:axId val="1400846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371704"/>
      </c:catAx>
      <c:valAx>
        <c:axId val="1617371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8468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Expenses by Payment Method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'Total Expenses by Payment Metho'!$B$1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'Total Expenses by Payment Metho'!$A$2:$A$4</c:f>
            </c:strRef>
          </c:cat>
          <c:val>
            <c:numRef>
              <c:f>'Total Expenses by Payment Metho'!$B$2:$B$4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Expenses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'Total Expenses by Category'!$B$1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'Total Expenses by Category'!$A$2:$A$8</c:f>
            </c:strRef>
          </c:cat>
          <c:val>
            <c:numRef>
              <c:f>'Total Expenses by Category'!$B$2:$B$8</c:f>
              <c:numCache/>
            </c:numRef>
          </c:val>
        </c:ser>
        <c:axId val="214720597"/>
        <c:axId val="504830020"/>
      </c:barChart>
      <c:catAx>
        <c:axId val="214720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830020"/>
      </c:catAx>
      <c:valAx>
        <c:axId val="504830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7205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Expenses by Payment Method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'Total Expenses by Payment Metho'!$B$1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'Total Expenses by Payment Metho'!$A$2:$A$4</c:f>
            </c:strRef>
          </c:cat>
          <c:val>
            <c:numRef>
              <c:f>'Total Expenses by Payment Metho'!$B$2:$B$4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Expenses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'Total Expenses by Month'!$B$1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'Total Expenses by Month'!$A$2:$A$5</c:f>
            </c:strRef>
          </c:cat>
          <c:val>
            <c:numRef>
              <c:f>'Total Expenses by Month'!$B$2:$B$5</c:f>
              <c:numCache/>
            </c:numRef>
          </c:val>
        </c:ser>
        <c:axId val="1301097075"/>
        <c:axId val="1611398402"/>
      </c:barChart>
      <c:catAx>
        <c:axId val="1301097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398402"/>
      </c:catAx>
      <c:valAx>
        <c:axId val="1611398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0970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Expenses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'Total Expenses by Category'!$B$1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'Total Expenses by Category'!$A$2:$A$8</c:f>
            </c:strRef>
          </c:cat>
          <c:val>
            <c:numRef>
              <c:f>'Total Expenses by Category'!$B$2:$B$8</c:f>
              <c:numCache/>
            </c:numRef>
          </c:val>
        </c:ser>
        <c:axId val="1833797380"/>
        <c:axId val="994692586"/>
      </c:barChart>
      <c:catAx>
        <c:axId val="1833797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692586"/>
      </c:catAx>
      <c:valAx>
        <c:axId val="994692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7973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1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0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1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962025</xdr:colOff>
      <xdr:row>4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9525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</xdr:row>
      <xdr:rowOff>9525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1" sheet="Expenses"/>
  </cacheSource>
  <cacheFields>
    <cacheField name="Date" numFmtId="164">
      <sharedItems containsSemiMixedTypes="0" containsDate="1" containsString="0"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5T00:00:00Z"/>
        <d v="2026-04-06T00:00:00Z"/>
        <d v="2026-04-07T00:00:00Z"/>
        <d v="2026-04-08T00:00:00Z"/>
        <d v="2026-04-09T00:00:00Z"/>
        <d v="2026-04-10T00:00:00Z"/>
      </sharedItems>
    </cacheField>
    <cacheField name="Category" numFmtId="0">
      <sharedItems>
        <s v="Office Supplies"/>
        <s v="Utilities"/>
        <s v="Travel"/>
        <s v="Meals"/>
        <s v="Software"/>
        <s v="Marketing"/>
        <s v="Maintenance"/>
      </sharedItems>
    </cacheField>
    <cacheField name="Description" numFmtId="0">
      <sharedItems>
        <s v="Printer Paper"/>
        <s v="Internet Bill"/>
        <s v="Taxi Fare"/>
        <s v="Team Lunch"/>
        <s v="Pens &amp; Markers"/>
        <s v="Microsoft 365"/>
        <s v="Electricity Bill"/>
        <s v="Fuel"/>
        <s v="Facebook Ads"/>
        <s v="File Folders"/>
        <s v="Office Cleaning"/>
        <s v="Zoom Subscription"/>
        <s v="Client Meeting"/>
        <s v="Water Bill"/>
        <s v="Bus Ticket"/>
        <s v="Google Ads"/>
        <s v="Sticky Notes"/>
        <s v="AC Repair"/>
        <s v="Office Snacks"/>
        <s v="Canva Pro"/>
        <s v="Mobile Bill"/>
        <s v="Parking Fee"/>
        <s v="Banner Printing"/>
        <s v="Notebook Purchase"/>
        <s v="Computer Repair"/>
        <s v="Ride Sharing"/>
        <s v="Stapler"/>
        <s v="Adobe Acrobat"/>
        <s v="Water Delivery"/>
        <s v="Instagram Ads"/>
        <s v="Staff Dinner"/>
        <s v="Printer Ink"/>
        <s v="Dropbox"/>
        <s v="Office Repair"/>
        <s v="A4 Paper"/>
        <s v="Client Lunch"/>
        <s v="LinkedIn Ads"/>
        <s v="Grammarly"/>
        <s v="Printer Service"/>
        <s v="Pens"/>
        <s v="Flyer Printing"/>
        <s v="Notion"/>
        <s v="Air Conditioner Service"/>
        <s v="Whiteboard Markers"/>
        <s v="Team Coffee"/>
        <s v="Slack"/>
        <s v="Window Cleaning"/>
        <s v="Files"/>
        <s v="YouTube Ads"/>
        <s v="Computer Upgrade"/>
        <s v="Envelopes"/>
        <s v="Client Dinner"/>
        <s v="Banner Design"/>
        <s v="Generator Service"/>
        <s v="Notebook"/>
        <s v="Social Media Ads"/>
        <s v="Staff Lunch"/>
        <s v="Plumbing Repair"/>
        <s v="Email Campaign"/>
        <s v="Printer Toner"/>
        <s v="Flight Ticket"/>
        <s v="Client Breakfast"/>
        <s v="Adobe Creative Cloud"/>
        <s v="Office Painting"/>
        <s v="Hotel Booking"/>
        <s v="Desk Organizer"/>
        <s v="Office Internet"/>
      </sharedItems>
    </cacheField>
    <cacheField name="Payment Method " numFmtId="0">
      <sharedItems>
        <s v="Cash"/>
        <s v="Bank Transfer"/>
        <s v="Credit Card"/>
      </sharedItems>
    </cacheField>
    <cacheField name="Amount " numFmtId="0">
      <sharedItems containsSemiMixedTypes="0" containsString="0" containsNumber="1" containsInteger="1">
        <n v="1200.0"/>
        <n v="3500.0"/>
        <n v="850.0"/>
        <n v="2800.0"/>
        <n v="650.0"/>
        <n v="6200.0"/>
        <n v="4800.0"/>
        <n v="3200.0"/>
        <n v="8500.0"/>
        <n v="900.0"/>
        <n v="1800.0"/>
        <n v="2400.0"/>
        <n v="1100.0"/>
        <n v="450.0"/>
        <n v="9200.0"/>
        <n v="350.0"/>
        <n v="5600.0"/>
        <n v="950.0"/>
        <n v="300.0"/>
        <n v="4700.0"/>
        <n v="700.0"/>
        <n v="3900.0"/>
        <n v="6100.0"/>
        <n v="4200.0"/>
        <n v="3100.0"/>
        <n v="2900.0"/>
        <n v="8900.0"/>
        <n v="1500.0"/>
        <n v="1300.0"/>
        <n v="3300.0"/>
        <n v="7600.0"/>
        <n v="2100.0"/>
        <n v="500.0"/>
        <n v="600.0"/>
        <n v="6800.0"/>
        <n v="1600.0"/>
        <n v="750.0"/>
        <n v="3400.0"/>
        <n v="9100.0"/>
        <n v="5400.0"/>
        <n v="4900.0"/>
        <n v="3800.0"/>
        <n v="800.0"/>
        <n v="1000.0"/>
        <n v="7200.0"/>
        <n v="1900.0"/>
        <n v="400.0"/>
        <n v="2600.0"/>
        <n v="8700.0"/>
        <n v="2700.0"/>
        <n v="1400.0"/>
        <n v="5500.0"/>
        <n v="12500.0"/>
        <n v="6500.0"/>
        <n v="9800.0"/>
      </sharedItems>
    </cacheField>
    <cacheField name="Month" numFmtId="0">
      <sharedItems>
        <s v="January"/>
        <s v="February"/>
        <s v="March"/>
        <s v="Apri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Expenses by Month" cacheId="0" dataCaption="" compact="0" compactData="0">
  <location ref="A1:B6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Payment Method " compact="0" outline="0" multipleItemSelectionAllowed="1" showAll="0">
      <items>
        <item x="0"/>
        <item x="1"/>
        <item x="2"/>
        <item t="default"/>
      </items>
    </pivotField>
    <pivotField name="Amount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onth" axis="axisRow" compact="0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5"/>
  </rowFields>
  <dataFields>
    <dataField name="SUM of Amount " fld="4" baseField="0"/>
  </dataFields>
</pivotTableDefinition>
</file>

<file path=xl/pivotTables/pivotTable2.xml><?xml version="1.0" encoding="utf-8"?>
<pivotTableDefinition xmlns="http://schemas.openxmlformats.org/spreadsheetml/2006/main" name="Total Expenses by Payment Metho" cacheId="0" dataCaption="" compact="0" compactData="0">
  <location ref="A1:B5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Payment Method " axis="axisRow" compact="0" outline="0" multipleItemSelectionAllowed="1" showAll="0" sortType="ascending">
      <items>
        <item x="1"/>
        <item x="0"/>
        <item x="2"/>
        <item t="default"/>
      </items>
    </pivotField>
    <pivotField name="Amount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dataFields>
    <dataField name="SUM of Amount " fld="4" baseField="0"/>
  </dataFields>
</pivotTableDefinition>
</file>

<file path=xl/pivotTables/pivotTable3.xml><?xml version="1.0" encoding="utf-8"?>
<pivotTableDefinition xmlns="http://schemas.openxmlformats.org/spreadsheetml/2006/main" name="Total Expenses by Category" cacheId="0" dataCaption="" compact="0" compactData="0">
  <location ref="A1:B9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axis="axisRow" compact="0" outline="0" multipleItemSelectionAllowed="1" showAll="0" sortType="ascending">
      <items>
        <item x="6"/>
        <item x="5"/>
        <item x="3"/>
        <item x="0"/>
        <item x="4"/>
        <item x="2"/>
        <item x="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Payment Method " compact="0" outline="0" multipleItemSelectionAllowed="1" showAll="0">
      <items>
        <item x="0"/>
        <item x="1"/>
        <item x="2"/>
        <item t="default"/>
      </items>
    </pivotField>
    <pivotField name="Amount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SUM of Amount " fld="4" baseField="0"/>
  </dataFields>
</pivotTableDefinition>
</file>

<file path=xl/pivotTables/pivotTable4.xml><?xml version="1.0" encoding="utf-8"?>
<pivotTableDefinition xmlns="http://schemas.openxmlformats.org/spreadsheetml/2006/main" name="Pivot Data" cacheId="0" dataCaption="" compact="0" compactData="0">
  <location ref="A1:B9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axis="axisRow" compact="0" outline="0" multipleItemSelectionAllowed="1" showAll="0" sortType="ascending">
      <items>
        <item x="6"/>
        <item x="5"/>
        <item x="3"/>
        <item x="0"/>
        <item x="4"/>
        <item x="2"/>
        <item x="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Payment Method " compact="0" outline="0" multipleItemSelectionAllowed="1" showAll="0">
      <items>
        <item x="0"/>
        <item x="1"/>
        <item x="2"/>
        <item t="default"/>
      </items>
    </pivotField>
    <pivotField name="Amount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SUM of Amount " fld="4" baseField="0"/>
  </dataFields>
</pivotTableDefinition>
</file>

<file path=xl/pivotTables/pivotTable5.xml><?xml version="1.0" encoding="utf-8"?>
<pivotTableDefinition xmlns="http://schemas.openxmlformats.org/spreadsheetml/2006/main" name="Pivot Data 2" cacheId="0" dataCaption="" compact="0" compactData="0">
  <location ref="D1:E5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Payment Method " axis="axisRow" compact="0" outline="0" multipleItemSelectionAllowed="1" showAll="0" sortType="ascending">
      <items>
        <item x="1"/>
        <item x="0"/>
        <item x="2"/>
        <item t="default"/>
      </items>
    </pivotField>
    <pivotField name="Amount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dataFields>
    <dataField name="SUM of Amount " fld="4" baseField="0"/>
  </dataFields>
</pivotTableDefinition>
</file>

<file path=xl/pivotTables/pivotTable6.xml><?xml version="1.0" encoding="utf-8"?>
<pivotTableDefinition xmlns="http://schemas.openxmlformats.org/spreadsheetml/2006/main" name="Pivot Data 3" cacheId="0" dataCaption="" compact="0" compactData="0">
  <location ref="G1:H6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Payment Method " compact="0" outline="0" multipleItemSelectionAllowed="1" showAll="0">
      <items>
        <item x="0"/>
        <item x="1"/>
        <item x="2"/>
        <item t="default"/>
      </items>
    </pivotField>
    <pivotField name="Amount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onth" axis="axisRow" compact="0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5"/>
  </rowFields>
  <dataFields>
    <dataField name="SUM of Amount 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8.88"/>
    <col customWidth="1" min="3" max="3" width="27.63"/>
    <col customWidth="1" min="4" max="4" width="20.13"/>
    <col customWidth="1" min="5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46023.0</v>
      </c>
      <c r="B2" s="3" t="s">
        <v>6</v>
      </c>
      <c r="C2" s="3" t="s">
        <v>7</v>
      </c>
      <c r="D2" s="3" t="s">
        <v>8</v>
      </c>
      <c r="E2" s="3">
        <v>1200.0</v>
      </c>
      <c r="F2" s="3" t="s">
        <v>9</v>
      </c>
    </row>
    <row r="3">
      <c r="A3" s="2">
        <v>46024.0</v>
      </c>
      <c r="B3" s="3" t="s">
        <v>10</v>
      </c>
      <c r="C3" s="3" t="s">
        <v>11</v>
      </c>
      <c r="D3" s="3" t="s">
        <v>12</v>
      </c>
      <c r="E3" s="3">
        <v>3500.0</v>
      </c>
      <c r="F3" s="3" t="s">
        <v>9</v>
      </c>
    </row>
    <row r="4">
      <c r="A4" s="2">
        <v>46025.0</v>
      </c>
      <c r="B4" s="3" t="s">
        <v>13</v>
      </c>
      <c r="C4" s="3" t="s">
        <v>14</v>
      </c>
      <c r="D4" s="3" t="s">
        <v>8</v>
      </c>
      <c r="E4" s="3">
        <v>850.0</v>
      </c>
      <c r="F4" s="3" t="s">
        <v>9</v>
      </c>
    </row>
    <row r="5">
      <c r="A5" s="2">
        <v>46026.0</v>
      </c>
      <c r="B5" s="3" t="s">
        <v>15</v>
      </c>
      <c r="C5" s="3" t="s">
        <v>16</v>
      </c>
      <c r="D5" s="3" t="s">
        <v>17</v>
      </c>
      <c r="E5" s="3">
        <v>2800.0</v>
      </c>
      <c r="F5" s="3" t="s">
        <v>9</v>
      </c>
    </row>
    <row r="6">
      <c r="A6" s="2">
        <v>46027.0</v>
      </c>
      <c r="B6" s="3" t="s">
        <v>6</v>
      </c>
      <c r="C6" s="3" t="s">
        <v>18</v>
      </c>
      <c r="D6" s="3" t="s">
        <v>8</v>
      </c>
      <c r="E6" s="3">
        <v>650.0</v>
      </c>
      <c r="F6" s="3" t="s">
        <v>9</v>
      </c>
    </row>
    <row r="7">
      <c r="A7" s="2">
        <v>46028.0</v>
      </c>
      <c r="B7" s="3" t="s">
        <v>19</v>
      </c>
      <c r="C7" s="3" t="s">
        <v>20</v>
      </c>
      <c r="D7" s="3" t="s">
        <v>17</v>
      </c>
      <c r="E7" s="3">
        <v>6200.0</v>
      </c>
      <c r="F7" s="3" t="s">
        <v>9</v>
      </c>
    </row>
    <row r="8">
      <c r="A8" s="2">
        <v>46029.0</v>
      </c>
      <c r="B8" s="3" t="s">
        <v>10</v>
      </c>
      <c r="C8" s="3" t="s">
        <v>21</v>
      </c>
      <c r="D8" s="3" t="s">
        <v>12</v>
      </c>
      <c r="E8" s="3">
        <v>4800.0</v>
      </c>
      <c r="F8" s="3" t="s">
        <v>9</v>
      </c>
    </row>
    <row r="9">
      <c r="A9" s="2">
        <v>46030.0</v>
      </c>
      <c r="B9" s="3" t="s">
        <v>13</v>
      </c>
      <c r="C9" s="3" t="s">
        <v>22</v>
      </c>
      <c r="D9" s="3" t="s">
        <v>8</v>
      </c>
      <c r="E9" s="3">
        <v>3200.0</v>
      </c>
      <c r="F9" s="3" t="s">
        <v>9</v>
      </c>
    </row>
    <row r="10">
      <c r="A10" s="2">
        <v>46031.0</v>
      </c>
      <c r="B10" s="3" t="s">
        <v>23</v>
      </c>
      <c r="C10" s="3" t="s">
        <v>24</v>
      </c>
      <c r="D10" s="3" t="s">
        <v>17</v>
      </c>
      <c r="E10" s="3">
        <v>8500.0</v>
      </c>
      <c r="F10" s="3" t="s">
        <v>9</v>
      </c>
    </row>
    <row r="11">
      <c r="A11" s="4">
        <v>46032.0</v>
      </c>
      <c r="B11" s="3" t="s">
        <v>6</v>
      </c>
      <c r="C11" s="3" t="s">
        <v>25</v>
      </c>
      <c r="D11" s="3" t="s">
        <v>8</v>
      </c>
      <c r="E11" s="3">
        <v>900.0</v>
      </c>
      <c r="F11" s="3" t="s">
        <v>9</v>
      </c>
    </row>
    <row r="12">
      <c r="A12" s="4">
        <v>46033.0</v>
      </c>
      <c r="B12" s="3" t="s">
        <v>26</v>
      </c>
      <c r="C12" s="3" t="s">
        <v>27</v>
      </c>
      <c r="D12" s="3" t="s">
        <v>8</v>
      </c>
      <c r="E12" s="3">
        <v>1800.0</v>
      </c>
      <c r="F12" s="3" t="s">
        <v>9</v>
      </c>
    </row>
    <row r="13">
      <c r="A13" s="4">
        <v>46034.0</v>
      </c>
      <c r="B13" s="3" t="s">
        <v>19</v>
      </c>
      <c r="C13" s="3" t="s">
        <v>28</v>
      </c>
      <c r="D13" s="3" t="s">
        <v>17</v>
      </c>
      <c r="E13" s="3">
        <v>2400.0</v>
      </c>
      <c r="F13" s="3" t="s">
        <v>9</v>
      </c>
    </row>
    <row r="14">
      <c r="A14" s="4">
        <v>46035.0</v>
      </c>
      <c r="B14" s="3" t="s">
        <v>15</v>
      </c>
      <c r="C14" s="3" t="s">
        <v>29</v>
      </c>
      <c r="D14" s="3" t="s">
        <v>17</v>
      </c>
      <c r="E14" s="3">
        <v>3500.0</v>
      </c>
      <c r="F14" s="3" t="s">
        <v>9</v>
      </c>
    </row>
    <row r="15">
      <c r="A15" s="4">
        <v>46036.0</v>
      </c>
      <c r="B15" s="3" t="s">
        <v>10</v>
      </c>
      <c r="C15" s="3" t="s">
        <v>30</v>
      </c>
      <c r="D15" s="3" t="s">
        <v>12</v>
      </c>
      <c r="E15" s="3">
        <v>1100.0</v>
      </c>
      <c r="F15" s="3" t="s">
        <v>9</v>
      </c>
    </row>
    <row r="16">
      <c r="A16" s="4">
        <v>46037.0</v>
      </c>
      <c r="B16" s="3" t="s">
        <v>13</v>
      </c>
      <c r="C16" s="3" t="s">
        <v>31</v>
      </c>
      <c r="D16" s="3" t="s">
        <v>8</v>
      </c>
      <c r="E16" s="3">
        <v>450.0</v>
      </c>
      <c r="F16" s="3" t="s">
        <v>9</v>
      </c>
    </row>
    <row r="17">
      <c r="A17" s="4">
        <v>46038.0</v>
      </c>
      <c r="B17" s="3" t="s">
        <v>23</v>
      </c>
      <c r="C17" s="3" t="s">
        <v>32</v>
      </c>
      <c r="D17" s="3" t="s">
        <v>17</v>
      </c>
      <c r="E17" s="3">
        <v>9200.0</v>
      </c>
      <c r="F17" s="3" t="s">
        <v>9</v>
      </c>
    </row>
    <row r="18">
      <c r="A18" s="4">
        <v>46039.0</v>
      </c>
      <c r="B18" s="3" t="s">
        <v>6</v>
      </c>
      <c r="C18" s="3" t="s">
        <v>33</v>
      </c>
      <c r="D18" s="3" t="s">
        <v>8</v>
      </c>
      <c r="E18" s="3">
        <v>350.0</v>
      </c>
      <c r="F18" s="3" t="s">
        <v>9</v>
      </c>
    </row>
    <row r="19">
      <c r="A19" s="4">
        <v>46040.0</v>
      </c>
      <c r="B19" s="3" t="s">
        <v>26</v>
      </c>
      <c r="C19" s="3" t="s">
        <v>34</v>
      </c>
      <c r="D19" s="3" t="s">
        <v>12</v>
      </c>
      <c r="E19" s="3">
        <v>5600.0</v>
      </c>
      <c r="F19" s="3" t="s">
        <v>9</v>
      </c>
    </row>
    <row r="20">
      <c r="A20" s="4">
        <v>46041.0</v>
      </c>
      <c r="B20" s="3" t="s">
        <v>15</v>
      </c>
      <c r="C20" s="3" t="s">
        <v>35</v>
      </c>
      <c r="D20" s="3" t="s">
        <v>8</v>
      </c>
      <c r="E20" s="3">
        <v>950.0</v>
      </c>
      <c r="F20" s="3" t="s">
        <v>9</v>
      </c>
    </row>
    <row r="21">
      <c r="A21" s="4">
        <v>46042.0</v>
      </c>
      <c r="B21" s="3" t="s">
        <v>19</v>
      </c>
      <c r="C21" s="3" t="s">
        <v>36</v>
      </c>
      <c r="D21" s="3" t="s">
        <v>17</v>
      </c>
      <c r="E21" s="3">
        <v>1800.0</v>
      </c>
      <c r="F21" s="3" t="s">
        <v>9</v>
      </c>
    </row>
    <row r="22">
      <c r="A22" s="4">
        <v>46043.0</v>
      </c>
      <c r="B22" s="3" t="s">
        <v>10</v>
      </c>
      <c r="C22" s="3" t="s">
        <v>37</v>
      </c>
      <c r="D22" s="3" t="s">
        <v>12</v>
      </c>
      <c r="E22" s="3">
        <v>900.0</v>
      </c>
      <c r="F22" s="3" t="s">
        <v>9</v>
      </c>
    </row>
    <row r="23">
      <c r="A23" s="4">
        <v>46044.0</v>
      </c>
      <c r="B23" s="3" t="s">
        <v>13</v>
      </c>
      <c r="C23" s="3" t="s">
        <v>38</v>
      </c>
      <c r="D23" s="3" t="s">
        <v>8</v>
      </c>
      <c r="E23" s="3">
        <v>300.0</v>
      </c>
      <c r="F23" s="3" t="s">
        <v>9</v>
      </c>
    </row>
    <row r="24">
      <c r="A24" s="4">
        <v>46045.0</v>
      </c>
      <c r="B24" s="3" t="s">
        <v>23</v>
      </c>
      <c r="C24" s="3" t="s">
        <v>39</v>
      </c>
      <c r="D24" s="3" t="s">
        <v>12</v>
      </c>
      <c r="E24" s="3">
        <v>4700.0</v>
      </c>
      <c r="F24" s="3" t="s">
        <v>9</v>
      </c>
    </row>
    <row r="25">
      <c r="A25" s="4">
        <v>46046.0</v>
      </c>
      <c r="B25" s="3" t="s">
        <v>6</v>
      </c>
      <c r="C25" s="3" t="s">
        <v>40</v>
      </c>
      <c r="D25" s="3" t="s">
        <v>8</v>
      </c>
      <c r="E25" s="3">
        <v>700.0</v>
      </c>
      <c r="F25" s="3" t="s">
        <v>9</v>
      </c>
    </row>
    <row r="26">
      <c r="A26" s="4">
        <v>46047.0</v>
      </c>
      <c r="B26" s="3" t="s">
        <v>26</v>
      </c>
      <c r="C26" s="3" t="s">
        <v>41</v>
      </c>
      <c r="D26" s="3" t="s">
        <v>12</v>
      </c>
      <c r="E26" s="3">
        <v>3900.0</v>
      </c>
      <c r="F26" s="3" t="s">
        <v>9</v>
      </c>
    </row>
    <row r="27">
      <c r="A27" s="4">
        <v>46048.0</v>
      </c>
      <c r="B27" s="3" t="s">
        <v>13</v>
      </c>
      <c r="C27" s="3" t="s">
        <v>42</v>
      </c>
      <c r="D27" s="3" t="s">
        <v>8</v>
      </c>
      <c r="E27" s="3">
        <v>650.0</v>
      </c>
      <c r="F27" s="3" t="s">
        <v>9</v>
      </c>
    </row>
    <row r="28">
      <c r="A28" s="4">
        <v>46049.0</v>
      </c>
      <c r="B28" s="3" t="s">
        <v>6</v>
      </c>
      <c r="C28" s="3" t="s">
        <v>43</v>
      </c>
      <c r="D28" s="3" t="s">
        <v>8</v>
      </c>
      <c r="E28" s="3">
        <v>450.0</v>
      </c>
      <c r="F28" s="3" t="s">
        <v>9</v>
      </c>
    </row>
    <row r="29">
      <c r="A29" s="4">
        <v>46050.0</v>
      </c>
      <c r="B29" s="3" t="s">
        <v>19</v>
      </c>
      <c r="C29" s="3" t="s">
        <v>44</v>
      </c>
      <c r="D29" s="3" t="s">
        <v>17</v>
      </c>
      <c r="E29" s="3">
        <v>2800.0</v>
      </c>
      <c r="F29" s="3" t="s">
        <v>9</v>
      </c>
    </row>
    <row r="30">
      <c r="A30" s="4">
        <v>46051.0</v>
      </c>
      <c r="B30" s="3" t="s">
        <v>10</v>
      </c>
      <c r="C30" s="3" t="s">
        <v>45</v>
      </c>
      <c r="D30" s="3" t="s">
        <v>8</v>
      </c>
      <c r="E30" s="3">
        <v>700.0</v>
      </c>
      <c r="F30" s="3" t="s">
        <v>9</v>
      </c>
    </row>
    <row r="31">
      <c r="A31" s="4">
        <v>46052.0</v>
      </c>
      <c r="B31" s="3" t="s">
        <v>23</v>
      </c>
      <c r="C31" s="3" t="s">
        <v>46</v>
      </c>
      <c r="D31" s="3" t="s">
        <v>17</v>
      </c>
      <c r="E31" s="3">
        <v>6100.0</v>
      </c>
      <c r="F31" s="3" t="s">
        <v>9</v>
      </c>
    </row>
    <row r="32">
      <c r="A32" s="4">
        <v>46053.0</v>
      </c>
      <c r="B32" s="3" t="s">
        <v>15</v>
      </c>
      <c r="C32" s="3" t="s">
        <v>47</v>
      </c>
      <c r="D32" s="3" t="s">
        <v>17</v>
      </c>
      <c r="E32" s="3">
        <v>4200.0</v>
      </c>
      <c r="F32" s="3" t="s">
        <v>9</v>
      </c>
    </row>
    <row r="33">
      <c r="A33" s="2">
        <v>46054.0</v>
      </c>
      <c r="B33" s="3" t="s">
        <v>6</v>
      </c>
      <c r="C33" s="3" t="s">
        <v>48</v>
      </c>
      <c r="D33" s="3" t="s">
        <v>8</v>
      </c>
      <c r="E33" s="3">
        <v>2400.0</v>
      </c>
      <c r="F33" s="3" t="s">
        <v>49</v>
      </c>
    </row>
    <row r="34">
      <c r="A34" s="2">
        <v>46055.0</v>
      </c>
      <c r="B34" s="3" t="s">
        <v>10</v>
      </c>
      <c r="C34" s="3" t="s">
        <v>11</v>
      </c>
      <c r="D34" s="3" t="s">
        <v>12</v>
      </c>
      <c r="E34" s="3">
        <v>3500.0</v>
      </c>
      <c r="F34" s="3" t="s">
        <v>49</v>
      </c>
    </row>
    <row r="35">
      <c r="A35" s="2">
        <v>46056.0</v>
      </c>
      <c r="B35" s="3" t="s">
        <v>13</v>
      </c>
      <c r="C35" s="3" t="s">
        <v>22</v>
      </c>
      <c r="D35" s="3" t="s">
        <v>8</v>
      </c>
      <c r="E35" s="3">
        <v>3100.0</v>
      </c>
      <c r="F35" s="3" t="s">
        <v>49</v>
      </c>
    </row>
    <row r="36">
      <c r="A36" s="2">
        <v>46057.0</v>
      </c>
      <c r="B36" s="3" t="s">
        <v>15</v>
      </c>
      <c r="C36" s="3" t="s">
        <v>16</v>
      </c>
      <c r="D36" s="3" t="s">
        <v>17</v>
      </c>
      <c r="E36" s="3">
        <v>2900.0</v>
      </c>
      <c r="F36" s="3" t="s">
        <v>49</v>
      </c>
    </row>
    <row r="37">
      <c r="A37" s="2">
        <v>46058.0</v>
      </c>
      <c r="B37" s="3" t="s">
        <v>23</v>
      </c>
      <c r="C37" s="3" t="s">
        <v>32</v>
      </c>
      <c r="D37" s="3" t="s">
        <v>17</v>
      </c>
      <c r="E37" s="3">
        <v>8900.0</v>
      </c>
      <c r="F37" s="3" t="s">
        <v>49</v>
      </c>
    </row>
    <row r="38">
      <c r="A38" s="2">
        <v>46059.0</v>
      </c>
      <c r="B38" s="3" t="s">
        <v>19</v>
      </c>
      <c r="C38" s="3" t="s">
        <v>50</v>
      </c>
      <c r="D38" s="3" t="s">
        <v>17</v>
      </c>
      <c r="E38" s="3">
        <v>1500.0</v>
      </c>
      <c r="F38" s="3" t="s">
        <v>49</v>
      </c>
    </row>
    <row r="39">
      <c r="A39" s="2">
        <v>46060.0</v>
      </c>
      <c r="B39" s="3" t="s">
        <v>26</v>
      </c>
      <c r="C39" s="3" t="s">
        <v>51</v>
      </c>
      <c r="D39" s="3" t="s">
        <v>12</v>
      </c>
      <c r="E39" s="3">
        <v>3200.0</v>
      </c>
      <c r="F39" s="3" t="s">
        <v>49</v>
      </c>
    </row>
    <row r="40">
      <c r="A40" s="2">
        <v>46061.0</v>
      </c>
      <c r="B40" s="3" t="s">
        <v>10</v>
      </c>
      <c r="C40" s="3" t="s">
        <v>21</v>
      </c>
      <c r="D40" s="3" t="s">
        <v>12</v>
      </c>
      <c r="E40" s="3">
        <v>4700.0</v>
      </c>
      <c r="F40" s="3" t="s">
        <v>49</v>
      </c>
    </row>
    <row r="41">
      <c r="A41" s="2">
        <v>46062.0</v>
      </c>
      <c r="B41" s="3" t="s">
        <v>13</v>
      </c>
      <c r="C41" s="3" t="s">
        <v>14</v>
      </c>
      <c r="D41" s="3" t="s">
        <v>8</v>
      </c>
      <c r="E41" s="3">
        <v>900.0</v>
      </c>
      <c r="F41" s="3" t="s">
        <v>49</v>
      </c>
    </row>
    <row r="42">
      <c r="A42" s="4">
        <v>46063.0</v>
      </c>
      <c r="B42" s="3" t="s">
        <v>6</v>
      </c>
      <c r="C42" s="3" t="s">
        <v>52</v>
      </c>
      <c r="D42" s="3" t="s">
        <v>8</v>
      </c>
      <c r="E42" s="3">
        <v>1300.0</v>
      </c>
      <c r="F42" s="3" t="s">
        <v>49</v>
      </c>
    </row>
    <row r="43">
      <c r="A43" s="4">
        <v>46064.0</v>
      </c>
      <c r="B43" s="3" t="s">
        <v>15</v>
      </c>
      <c r="C43" s="3" t="s">
        <v>53</v>
      </c>
      <c r="D43" s="3" t="s">
        <v>17</v>
      </c>
      <c r="E43" s="3">
        <v>3300.0</v>
      </c>
      <c r="F43" s="3" t="s">
        <v>49</v>
      </c>
    </row>
    <row r="44">
      <c r="A44" s="4">
        <v>46065.0</v>
      </c>
      <c r="B44" s="3" t="s">
        <v>23</v>
      </c>
      <c r="C44" s="3" t="s">
        <v>54</v>
      </c>
      <c r="D44" s="3" t="s">
        <v>17</v>
      </c>
      <c r="E44" s="3">
        <v>7600.0</v>
      </c>
      <c r="F44" s="3" t="s">
        <v>49</v>
      </c>
    </row>
    <row r="45">
      <c r="A45" s="4">
        <v>46066.0</v>
      </c>
      <c r="B45" s="3" t="s">
        <v>19</v>
      </c>
      <c r="C45" s="3" t="s">
        <v>55</v>
      </c>
      <c r="D45" s="3" t="s">
        <v>17</v>
      </c>
      <c r="E45" s="3">
        <v>1200.0</v>
      </c>
      <c r="F45" s="3" t="s">
        <v>49</v>
      </c>
    </row>
    <row r="46">
      <c r="A46" s="4">
        <v>46067.0</v>
      </c>
      <c r="B46" s="3" t="s">
        <v>26</v>
      </c>
      <c r="C46" s="3" t="s">
        <v>56</v>
      </c>
      <c r="D46" s="3" t="s">
        <v>8</v>
      </c>
      <c r="E46" s="3">
        <v>2100.0</v>
      </c>
      <c r="F46" s="3" t="s">
        <v>49</v>
      </c>
    </row>
    <row r="47">
      <c r="A47" s="4">
        <v>46068.0</v>
      </c>
      <c r="B47" s="3" t="s">
        <v>13</v>
      </c>
      <c r="C47" s="3" t="s">
        <v>31</v>
      </c>
      <c r="D47" s="3" t="s">
        <v>8</v>
      </c>
      <c r="E47" s="3">
        <v>500.0</v>
      </c>
      <c r="F47" s="3" t="s">
        <v>49</v>
      </c>
    </row>
    <row r="48">
      <c r="A48" s="4">
        <v>46069.0</v>
      </c>
      <c r="B48" s="3" t="s">
        <v>6</v>
      </c>
      <c r="C48" s="3" t="s">
        <v>57</v>
      </c>
      <c r="D48" s="3" t="s">
        <v>8</v>
      </c>
      <c r="E48" s="3">
        <v>450.0</v>
      </c>
      <c r="F48" s="3" t="s">
        <v>49</v>
      </c>
    </row>
    <row r="49">
      <c r="A49" s="4">
        <v>46070.0</v>
      </c>
      <c r="B49" s="3" t="s">
        <v>10</v>
      </c>
      <c r="C49" s="3" t="s">
        <v>37</v>
      </c>
      <c r="D49" s="3" t="s">
        <v>12</v>
      </c>
      <c r="E49" s="3">
        <v>950.0</v>
      </c>
      <c r="F49" s="3" t="s">
        <v>49</v>
      </c>
    </row>
    <row r="50">
      <c r="A50" s="4">
        <v>46071.0</v>
      </c>
      <c r="B50" s="3" t="s">
        <v>15</v>
      </c>
      <c r="C50" s="3" t="s">
        <v>35</v>
      </c>
      <c r="D50" s="3" t="s">
        <v>8</v>
      </c>
      <c r="E50" s="3">
        <v>850.0</v>
      </c>
      <c r="F50" s="3" t="s">
        <v>49</v>
      </c>
    </row>
    <row r="51">
      <c r="A51" s="4">
        <v>46072.0</v>
      </c>
      <c r="B51" s="3" t="s">
        <v>23</v>
      </c>
      <c r="C51" s="3" t="s">
        <v>58</v>
      </c>
      <c r="D51" s="3" t="s">
        <v>12</v>
      </c>
      <c r="E51" s="3">
        <v>2800.0</v>
      </c>
      <c r="F51" s="3" t="s">
        <v>49</v>
      </c>
    </row>
    <row r="52">
      <c r="A52" s="4">
        <v>46073.0</v>
      </c>
      <c r="B52" s="3" t="s">
        <v>19</v>
      </c>
      <c r="C52" s="3" t="s">
        <v>59</v>
      </c>
      <c r="D52" s="3" t="s">
        <v>17</v>
      </c>
      <c r="E52" s="3">
        <v>900.0</v>
      </c>
      <c r="F52" s="3" t="s">
        <v>49</v>
      </c>
    </row>
    <row r="53">
      <c r="A53" s="4">
        <v>46074.0</v>
      </c>
      <c r="B53" s="3" t="s">
        <v>26</v>
      </c>
      <c r="C53" s="3" t="s">
        <v>60</v>
      </c>
      <c r="D53" s="3" t="s">
        <v>12</v>
      </c>
      <c r="E53" s="3">
        <v>4800.0</v>
      </c>
      <c r="F53" s="3" t="s">
        <v>49</v>
      </c>
    </row>
    <row r="54">
      <c r="A54" s="4">
        <v>46075.0</v>
      </c>
      <c r="B54" s="3" t="s">
        <v>13</v>
      </c>
      <c r="C54" s="3" t="s">
        <v>38</v>
      </c>
      <c r="D54" s="3" t="s">
        <v>8</v>
      </c>
      <c r="E54" s="3">
        <v>350.0</v>
      </c>
      <c r="F54" s="3" t="s">
        <v>49</v>
      </c>
    </row>
    <row r="55">
      <c r="A55" s="4">
        <v>46076.0</v>
      </c>
      <c r="B55" s="3" t="s">
        <v>6</v>
      </c>
      <c r="C55" s="3" t="s">
        <v>61</v>
      </c>
      <c r="D55" s="3" t="s">
        <v>8</v>
      </c>
      <c r="E55" s="3">
        <v>600.0</v>
      </c>
      <c r="F55" s="3" t="s">
        <v>49</v>
      </c>
    </row>
    <row r="56">
      <c r="A56" s="4">
        <v>46077.0</v>
      </c>
      <c r="B56" s="3" t="s">
        <v>10</v>
      </c>
      <c r="C56" s="3" t="s">
        <v>30</v>
      </c>
      <c r="D56" s="3" t="s">
        <v>12</v>
      </c>
      <c r="E56" s="3">
        <v>1200.0</v>
      </c>
      <c r="F56" s="3" t="s">
        <v>49</v>
      </c>
    </row>
    <row r="57">
      <c r="A57" s="4">
        <v>46078.0</v>
      </c>
      <c r="B57" s="3" t="s">
        <v>15</v>
      </c>
      <c r="C57" s="3" t="s">
        <v>62</v>
      </c>
      <c r="D57" s="3" t="s">
        <v>8</v>
      </c>
      <c r="E57" s="3">
        <v>700.0</v>
      </c>
      <c r="F57" s="3" t="s">
        <v>49</v>
      </c>
    </row>
    <row r="58">
      <c r="A58" s="4">
        <v>46079.0</v>
      </c>
      <c r="B58" s="3" t="s">
        <v>23</v>
      </c>
      <c r="C58" s="3" t="s">
        <v>24</v>
      </c>
      <c r="D58" s="3" t="s">
        <v>17</v>
      </c>
      <c r="E58" s="3">
        <v>6800.0</v>
      </c>
      <c r="F58" s="3" t="s">
        <v>49</v>
      </c>
    </row>
    <row r="59">
      <c r="A59" s="4">
        <v>46080.0</v>
      </c>
      <c r="B59" s="3" t="s">
        <v>19</v>
      </c>
      <c r="C59" s="3" t="s">
        <v>63</v>
      </c>
      <c r="D59" s="3" t="s">
        <v>17</v>
      </c>
      <c r="E59" s="3">
        <v>1100.0</v>
      </c>
      <c r="F59" s="3" t="s">
        <v>49</v>
      </c>
    </row>
    <row r="60">
      <c r="A60" s="4">
        <v>46081.0</v>
      </c>
      <c r="B60" s="3" t="s">
        <v>26</v>
      </c>
      <c r="C60" s="3" t="s">
        <v>64</v>
      </c>
      <c r="D60" s="3" t="s">
        <v>8</v>
      </c>
      <c r="E60" s="3">
        <v>1600.0</v>
      </c>
      <c r="F60" s="3" t="s">
        <v>49</v>
      </c>
    </row>
    <row r="61">
      <c r="A61" s="2">
        <v>46082.0</v>
      </c>
      <c r="B61" s="3" t="s">
        <v>6</v>
      </c>
      <c r="C61" s="3" t="s">
        <v>65</v>
      </c>
      <c r="D61" s="3" t="s">
        <v>8</v>
      </c>
      <c r="E61" s="3">
        <v>750.0</v>
      </c>
      <c r="F61" s="3" t="s">
        <v>66</v>
      </c>
    </row>
    <row r="62">
      <c r="A62" s="2">
        <v>46083.0</v>
      </c>
      <c r="B62" s="3" t="s">
        <v>10</v>
      </c>
      <c r="C62" s="3" t="s">
        <v>11</v>
      </c>
      <c r="D62" s="3" t="s">
        <v>12</v>
      </c>
      <c r="E62" s="3">
        <v>3500.0</v>
      </c>
      <c r="F62" s="3" t="s">
        <v>66</v>
      </c>
    </row>
    <row r="63">
      <c r="A63" s="2">
        <v>46084.0</v>
      </c>
      <c r="B63" s="3" t="s">
        <v>13</v>
      </c>
      <c r="C63" s="3" t="s">
        <v>22</v>
      </c>
      <c r="D63" s="3" t="s">
        <v>8</v>
      </c>
      <c r="E63" s="3">
        <v>3400.0</v>
      </c>
      <c r="F63" s="3" t="s">
        <v>66</v>
      </c>
    </row>
    <row r="64">
      <c r="A64" s="2">
        <v>46085.0</v>
      </c>
      <c r="B64" s="3" t="s">
        <v>15</v>
      </c>
      <c r="C64" s="3" t="s">
        <v>16</v>
      </c>
      <c r="D64" s="3" t="s">
        <v>17</v>
      </c>
      <c r="E64" s="3">
        <v>3100.0</v>
      </c>
      <c r="F64" s="3" t="s">
        <v>66</v>
      </c>
    </row>
    <row r="65">
      <c r="A65" s="2">
        <v>46086.0</v>
      </c>
      <c r="B65" s="3" t="s">
        <v>23</v>
      </c>
      <c r="C65" s="3" t="s">
        <v>68</v>
      </c>
      <c r="D65" s="3" t="s">
        <v>17</v>
      </c>
      <c r="E65" s="3">
        <v>9100.0</v>
      </c>
      <c r="F65" s="3" t="s">
        <v>66</v>
      </c>
    </row>
    <row r="66">
      <c r="A66" s="2">
        <v>46087.0</v>
      </c>
      <c r="B66" s="3" t="s">
        <v>19</v>
      </c>
      <c r="C66" s="3" t="s">
        <v>20</v>
      </c>
      <c r="D66" s="3" t="s">
        <v>17</v>
      </c>
      <c r="E66" s="3">
        <v>6200.0</v>
      </c>
      <c r="F66" s="3" t="s">
        <v>66</v>
      </c>
    </row>
    <row r="67">
      <c r="A67" s="2">
        <v>46088.0</v>
      </c>
      <c r="B67" s="3" t="s">
        <v>26</v>
      </c>
      <c r="C67" s="3" t="s">
        <v>70</v>
      </c>
      <c r="D67" s="3" t="s">
        <v>12</v>
      </c>
      <c r="E67" s="3">
        <v>5400.0</v>
      </c>
      <c r="F67" s="3" t="s">
        <v>66</v>
      </c>
    </row>
    <row r="68">
      <c r="A68" s="2">
        <v>46089.0</v>
      </c>
      <c r="B68" s="3" t="s">
        <v>10</v>
      </c>
      <c r="C68" s="3" t="s">
        <v>21</v>
      </c>
      <c r="D68" s="3" t="s">
        <v>12</v>
      </c>
      <c r="E68" s="3">
        <v>4900.0</v>
      </c>
      <c r="F68" s="3" t="s">
        <v>66</v>
      </c>
    </row>
    <row r="69">
      <c r="A69" s="2">
        <v>46090.0</v>
      </c>
      <c r="B69" s="3" t="s">
        <v>13</v>
      </c>
      <c r="C69" s="3" t="s">
        <v>14</v>
      </c>
      <c r="D69" s="3" t="s">
        <v>8</v>
      </c>
      <c r="E69" s="3">
        <v>850.0</v>
      </c>
      <c r="F69" s="3" t="s">
        <v>66</v>
      </c>
    </row>
    <row r="70">
      <c r="A70" s="4">
        <v>46091.0</v>
      </c>
      <c r="B70" s="3" t="s">
        <v>6</v>
      </c>
      <c r="C70" s="3" t="s">
        <v>72</v>
      </c>
      <c r="D70" s="3" t="s">
        <v>8</v>
      </c>
      <c r="E70" s="3">
        <v>500.0</v>
      </c>
      <c r="F70" s="3" t="s">
        <v>66</v>
      </c>
    </row>
    <row r="71">
      <c r="A71" s="4">
        <v>46092.0</v>
      </c>
      <c r="B71" s="3" t="s">
        <v>15</v>
      </c>
      <c r="C71" s="3" t="s">
        <v>73</v>
      </c>
      <c r="D71" s="3" t="s">
        <v>17</v>
      </c>
      <c r="E71" s="3">
        <v>3800.0</v>
      </c>
      <c r="F71" s="3" t="s">
        <v>66</v>
      </c>
    </row>
    <row r="72">
      <c r="A72" s="4">
        <v>46093.0</v>
      </c>
      <c r="B72" s="3" t="s">
        <v>23</v>
      </c>
      <c r="C72" s="3" t="s">
        <v>74</v>
      </c>
      <c r="D72" s="3" t="s">
        <v>12</v>
      </c>
      <c r="E72" s="3">
        <v>4200.0</v>
      </c>
      <c r="F72" s="3" t="s">
        <v>66</v>
      </c>
    </row>
    <row r="73">
      <c r="A73" s="4">
        <v>46094.0</v>
      </c>
      <c r="B73" s="3" t="s">
        <v>19</v>
      </c>
      <c r="C73" s="3" t="s">
        <v>36</v>
      </c>
      <c r="D73" s="3" t="s">
        <v>17</v>
      </c>
      <c r="E73" s="3">
        <v>1800.0</v>
      </c>
      <c r="F73" s="3" t="s">
        <v>66</v>
      </c>
    </row>
    <row r="74">
      <c r="A74" s="4">
        <v>46095.0</v>
      </c>
      <c r="B74" s="3" t="s">
        <v>26</v>
      </c>
      <c r="C74" s="3" t="s">
        <v>75</v>
      </c>
      <c r="D74" s="3" t="s">
        <v>12</v>
      </c>
      <c r="E74" s="3">
        <v>3900.0</v>
      </c>
      <c r="F74" s="3" t="s">
        <v>66</v>
      </c>
    </row>
    <row r="75">
      <c r="A75" s="4">
        <v>46096.0</v>
      </c>
      <c r="B75" s="3" t="s">
        <v>13</v>
      </c>
      <c r="C75" s="3" t="s">
        <v>31</v>
      </c>
      <c r="D75" s="3" t="s">
        <v>8</v>
      </c>
      <c r="E75" s="3">
        <v>450.0</v>
      </c>
      <c r="F75" s="3" t="s">
        <v>66</v>
      </c>
    </row>
    <row r="76">
      <c r="A76" s="4">
        <v>46097.0</v>
      </c>
      <c r="B76" s="3" t="s">
        <v>6</v>
      </c>
      <c r="C76" s="3" t="s">
        <v>76</v>
      </c>
      <c r="D76" s="3" t="s">
        <v>8</v>
      </c>
      <c r="E76" s="3">
        <v>800.0</v>
      </c>
      <c r="F76" s="3" t="s">
        <v>66</v>
      </c>
    </row>
    <row r="77">
      <c r="A77" s="4">
        <v>46098.0</v>
      </c>
      <c r="B77" s="3" t="s">
        <v>10</v>
      </c>
      <c r="C77" s="3" t="s">
        <v>37</v>
      </c>
      <c r="D77" s="3" t="s">
        <v>12</v>
      </c>
      <c r="E77" s="3">
        <v>1000.0</v>
      </c>
      <c r="F77" s="3" t="s">
        <v>66</v>
      </c>
    </row>
    <row r="78">
      <c r="A78" s="4">
        <v>46099.0</v>
      </c>
      <c r="B78" s="3" t="s">
        <v>15</v>
      </c>
      <c r="C78" s="3" t="s">
        <v>35</v>
      </c>
      <c r="D78" s="3" t="s">
        <v>8</v>
      </c>
      <c r="E78" s="3">
        <v>950.0</v>
      </c>
      <c r="F78" s="3" t="s">
        <v>66</v>
      </c>
    </row>
    <row r="79">
      <c r="A79" s="4">
        <v>46100.0</v>
      </c>
      <c r="B79" s="3" t="s">
        <v>23</v>
      </c>
      <c r="C79" s="3" t="s">
        <v>78</v>
      </c>
      <c r="D79" s="3" t="s">
        <v>17</v>
      </c>
      <c r="E79" s="3">
        <v>7200.0</v>
      </c>
      <c r="F79" s="3" t="s">
        <v>66</v>
      </c>
    </row>
    <row r="80">
      <c r="A80" s="4">
        <v>46101.0</v>
      </c>
      <c r="B80" s="3" t="s">
        <v>19</v>
      </c>
      <c r="C80" s="3" t="s">
        <v>28</v>
      </c>
      <c r="D80" s="3" t="s">
        <v>17</v>
      </c>
      <c r="E80" s="3">
        <v>2400.0</v>
      </c>
      <c r="F80" s="3" t="s">
        <v>66</v>
      </c>
    </row>
    <row r="81">
      <c r="A81" s="4">
        <v>46102.0</v>
      </c>
      <c r="B81" s="3" t="s">
        <v>26</v>
      </c>
      <c r="C81" s="3" t="s">
        <v>27</v>
      </c>
      <c r="D81" s="3" t="s">
        <v>8</v>
      </c>
      <c r="E81" s="3">
        <v>1900.0</v>
      </c>
      <c r="F81" s="3" t="s">
        <v>66</v>
      </c>
    </row>
    <row r="82">
      <c r="A82" s="4">
        <v>46103.0</v>
      </c>
      <c r="B82" s="3" t="s">
        <v>13</v>
      </c>
      <c r="C82" s="3" t="s">
        <v>38</v>
      </c>
      <c r="D82" s="3" t="s">
        <v>8</v>
      </c>
      <c r="E82" s="3">
        <v>300.0</v>
      </c>
      <c r="F82" s="3" t="s">
        <v>66</v>
      </c>
    </row>
    <row r="83">
      <c r="A83" s="4">
        <v>46104.0</v>
      </c>
      <c r="B83" s="3" t="s">
        <v>6</v>
      </c>
      <c r="C83" s="3" t="s">
        <v>33</v>
      </c>
      <c r="D83" s="3" t="s">
        <v>8</v>
      </c>
      <c r="E83" s="3">
        <v>400.0</v>
      </c>
      <c r="F83" s="3" t="s">
        <v>66</v>
      </c>
    </row>
    <row r="84">
      <c r="A84" s="4">
        <v>46105.0</v>
      </c>
      <c r="B84" s="3" t="s">
        <v>10</v>
      </c>
      <c r="C84" s="3" t="s">
        <v>30</v>
      </c>
      <c r="D84" s="3" t="s">
        <v>12</v>
      </c>
      <c r="E84" s="3">
        <v>1100.0</v>
      </c>
      <c r="F84" s="3" t="s">
        <v>66</v>
      </c>
    </row>
    <row r="85">
      <c r="A85" s="4">
        <v>46106.0</v>
      </c>
      <c r="B85" s="3" t="s">
        <v>15</v>
      </c>
      <c r="C85" s="3" t="s">
        <v>79</v>
      </c>
      <c r="D85" s="3" t="s">
        <v>17</v>
      </c>
      <c r="E85" s="3">
        <v>2600.0</v>
      </c>
      <c r="F85" s="3" t="s">
        <v>66</v>
      </c>
    </row>
    <row r="86">
      <c r="A86" s="4">
        <v>46107.0</v>
      </c>
      <c r="B86" s="3" t="s">
        <v>23</v>
      </c>
      <c r="C86" s="3" t="s">
        <v>32</v>
      </c>
      <c r="D86" s="3" t="s">
        <v>17</v>
      </c>
      <c r="E86" s="3">
        <v>8700.0</v>
      </c>
      <c r="F86" s="3" t="s">
        <v>66</v>
      </c>
    </row>
    <row r="87">
      <c r="A87" s="4">
        <v>46108.0</v>
      </c>
      <c r="B87" s="3" t="s">
        <v>19</v>
      </c>
      <c r="C87" s="3" t="s">
        <v>50</v>
      </c>
      <c r="D87" s="3" t="s">
        <v>17</v>
      </c>
      <c r="E87" s="3">
        <v>1500.0</v>
      </c>
      <c r="F87" s="3" t="s">
        <v>66</v>
      </c>
    </row>
    <row r="88">
      <c r="A88" s="4">
        <v>46109.0</v>
      </c>
      <c r="B88" s="3" t="s">
        <v>26</v>
      </c>
      <c r="C88" s="3" t="s">
        <v>80</v>
      </c>
      <c r="D88" s="3" t="s">
        <v>12</v>
      </c>
      <c r="E88" s="3">
        <v>2700.0</v>
      </c>
      <c r="F88" s="3" t="s">
        <v>66</v>
      </c>
    </row>
    <row r="89">
      <c r="A89" s="4">
        <v>46110.0</v>
      </c>
      <c r="B89" s="3" t="s">
        <v>13</v>
      </c>
      <c r="C89" s="3" t="s">
        <v>22</v>
      </c>
      <c r="D89" s="3" t="s">
        <v>8</v>
      </c>
      <c r="E89" s="3">
        <v>2900.0</v>
      </c>
      <c r="F89" s="3" t="s">
        <v>66</v>
      </c>
    </row>
    <row r="90">
      <c r="A90" s="4">
        <v>46111.0</v>
      </c>
      <c r="B90" s="3" t="s">
        <v>6</v>
      </c>
      <c r="C90" s="3" t="s">
        <v>7</v>
      </c>
      <c r="D90" s="3" t="s">
        <v>8</v>
      </c>
      <c r="E90" s="3">
        <v>1400.0</v>
      </c>
      <c r="F90" s="3" t="s">
        <v>66</v>
      </c>
    </row>
    <row r="91">
      <c r="A91" s="4">
        <v>46112.0</v>
      </c>
      <c r="B91" s="3" t="s">
        <v>10</v>
      </c>
      <c r="C91" s="3" t="s">
        <v>11</v>
      </c>
      <c r="D91" s="3" t="s">
        <v>12</v>
      </c>
      <c r="E91" s="3">
        <v>3500.0</v>
      </c>
      <c r="F91" s="3" t="s">
        <v>66</v>
      </c>
    </row>
    <row r="92">
      <c r="A92" s="2">
        <v>46113.0</v>
      </c>
      <c r="B92" s="3" t="s">
        <v>23</v>
      </c>
      <c r="C92" s="3" t="s">
        <v>81</v>
      </c>
      <c r="D92" s="3" t="s">
        <v>17</v>
      </c>
      <c r="E92" s="3">
        <v>5500.0</v>
      </c>
      <c r="F92" s="3" t="s">
        <v>69</v>
      </c>
    </row>
    <row r="93">
      <c r="A93" s="2">
        <v>46114.0</v>
      </c>
      <c r="B93" s="3" t="s">
        <v>6</v>
      </c>
      <c r="C93" s="3" t="s">
        <v>82</v>
      </c>
      <c r="D93" s="3" t="s">
        <v>8</v>
      </c>
      <c r="E93" s="3">
        <v>2600.0</v>
      </c>
      <c r="F93" s="3" t="s">
        <v>69</v>
      </c>
    </row>
    <row r="94">
      <c r="A94" s="2">
        <v>46115.0</v>
      </c>
      <c r="B94" s="3" t="s">
        <v>13</v>
      </c>
      <c r="C94" s="3" t="s">
        <v>83</v>
      </c>
      <c r="D94" s="3" t="s">
        <v>12</v>
      </c>
      <c r="E94" s="3">
        <v>12500.0</v>
      </c>
      <c r="F94" s="3" t="s">
        <v>69</v>
      </c>
    </row>
    <row r="95">
      <c r="A95" s="2">
        <v>46116.0</v>
      </c>
      <c r="B95" s="3" t="s">
        <v>10</v>
      </c>
      <c r="C95" s="3" t="s">
        <v>21</v>
      </c>
      <c r="D95" s="3" t="s">
        <v>12</v>
      </c>
      <c r="E95" s="3">
        <v>4800.0</v>
      </c>
      <c r="F95" s="3" t="s">
        <v>69</v>
      </c>
    </row>
    <row r="96">
      <c r="A96" s="2">
        <v>46117.0</v>
      </c>
      <c r="B96" s="3" t="s">
        <v>15</v>
      </c>
      <c r="C96" s="3" t="s">
        <v>84</v>
      </c>
      <c r="D96" s="3" t="s">
        <v>17</v>
      </c>
      <c r="E96" s="3">
        <v>1800.0</v>
      </c>
      <c r="F96" s="3" t="s">
        <v>69</v>
      </c>
    </row>
    <row r="97">
      <c r="A97" s="2">
        <v>46118.0</v>
      </c>
      <c r="B97" s="3" t="s">
        <v>19</v>
      </c>
      <c r="C97" s="3" t="s">
        <v>85</v>
      </c>
      <c r="D97" s="3" t="s">
        <v>17</v>
      </c>
      <c r="E97" s="3">
        <v>6500.0</v>
      </c>
      <c r="F97" s="3" t="s">
        <v>69</v>
      </c>
    </row>
    <row r="98">
      <c r="A98" s="2">
        <v>46119.0</v>
      </c>
      <c r="B98" s="3" t="s">
        <v>26</v>
      </c>
      <c r="C98" s="3" t="s">
        <v>86</v>
      </c>
      <c r="D98" s="3" t="s">
        <v>12</v>
      </c>
      <c r="E98" s="3">
        <v>7200.0</v>
      </c>
      <c r="F98" s="3" t="s">
        <v>69</v>
      </c>
    </row>
    <row r="99">
      <c r="A99" s="2">
        <v>46120.0</v>
      </c>
      <c r="B99" s="3" t="s">
        <v>13</v>
      </c>
      <c r="C99" s="3" t="s">
        <v>87</v>
      </c>
      <c r="D99" s="3" t="s">
        <v>17</v>
      </c>
      <c r="E99" s="3">
        <v>9800.0</v>
      </c>
      <c r="F99" s="3" t="s">
        <v>69</v>
      </c>
    </row>
    <row r="100">
      <c r="A100" s="2">
        <v>46121.0</v>
      </c>
      <c r="B100" s="3" t="s">
        <v>6</v>
      </c>
      <c r="C100" s="3" t="s">
        <v>88</v>
      </c>
      <c r="D100" s="3" t="s">
        <v>8</v>
      </c>
      <c r="E100" s="3">
        <v>950.0</v>
      </c>
      <c r="F100" s="3" t="s">
        <v>69</v>
      </c>
    </row>
    <row r="101">
      <c r="A101" s="4">
        <v>46122.0</v>
      </c>
      <c r="B101" s="3" t="s">
        <v>10</v>
      </c>
      <c r="C101" s="3" t="s">
        <v>89</v>
      </c>
      <c r="D101" s="3" t="s">
        <v>12</v>
      </c>
      <c r="E101" s="3">
        <v>3500.0</v>
      </c>
      <c r="F101" s="3" t="s">
        <v>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0"/>
  </cols>
  <sheetData>
    <row r="1"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1">
      <c r="J11" s="3" t="s">
        <v>77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8" max="8" width="13.5"/>
  </cols>
  <sheetData>
    <row r="1">
      <c r="B1" s="9" t="s">
        <v>90</v>
      </c>
      <c r="D1" s="9" t="s">
        <v>91</v>
      </c>
      <c r="F1" s="9" t="s">
        <v>92</v>
      </c>
      <c r="H1" s="9" t="s">
        <v>93</v>
      </c>
    </row>
    <row r="3">
      <c r="B3" s="10">
        <f>SUM(Expenses!E2:E101)</f>
        <v>301700</v>
      </c>
      <c r="D3" s="11" t="str">
        <f>"Rs "&amp;TEXT(AVERAGE(Expenses!E2:E101),"#,##0")</f>
        <v>Rs 3,017</v>
      </c>
      <c r="F3" s="12">
        <f>COUNTA(Expenses!A2:A101)</f>
        <v>100</v>
      </c>
      <c r="H3" s="11" t="str">
        <f>"Rs "&amp;TEXT(MAX(Expenses!E2:E101),"#,##0")</f>
        <v>Rs 12,500</v>
      </c>
    </row>
  </sheetData>
  <drawing r:id="rId1"/>
</worksheet>
</file>