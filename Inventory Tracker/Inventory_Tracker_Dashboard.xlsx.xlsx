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" sheetId="1" r:id="rId5"/>
    <sheet state="visible" name="Pivot Table 6" sheetId="2" r:id="rId6"/>
    <sheet state="visible" name="Products by Status" sheetId="3" r:id="rId7"/>
    <sheet state="visible" name="Dashboard" sheetId="4" r:id="rId8"/>
    <sheet state="visible" name="Supplier Pivot" sheetId="5" r:id="rId9"/>
    <sheet state="visible" name="Category Pivot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<sst xmlns="http://schemas.openxmlformats.org/spreadsheetml/2006/main" count="544" uniqueCount="236">
  <si>
    <t>Product ID</t>
  </si>
  <si>
    <t>Product Name</t>
  </si>
  <si>
    <t>Category</t>
  </si>
  <si>
    <t>Supplier</t>
  </si>
  <si>
    <t xml:space="preserve">Stock In </t>
  </si>
  <si>
    <t>Stock Out</t>
  </si>
  <si>
    <t>Current stock</t>
  </si>
  <si>
    <t>Status</t>
  </si>
  <si>
    <t xml:space="preserve"> </t>
  </si>
  <si>
    <t>P001</t>
  </si>
  <si>
    <t>Laptop</t>
  </si>
  <si>
    <t>Electronics</t>
  </si>
  <si>
    <t>TechWorld Ltd.</t>
  </si>
  <si>
    <t>P002</t>
  </si>
  <si>
    <t>Wireless Mouse</t>
  </si>
  <si>
    <t>P003</t>
  </si>
  <si>
    <t>Keyboard</t>
  </si>
  <si>
    <t>P004</t>
  </si>
  <si>
    <t>Monitor</t>
  </si>
  <si>
    <t>Digital Solutions</t>
  </si>
  <si>
    <t>P005</t>
  </si>
  <si>
    <t>Printer</t>
  </si>
  <si>
    <t>OfficeTech Supplies</t>
  </si>
  <si>
    <t>P006</t>
  </si>
  <si>
    <t>Office Chair</t>
  </si>
  <si>
    <t>Furniture</t>
  </si>
  <si>
    <t>Global Office Supplies</t>
  </si>
  <si>
    <t>P007</t>
  </si>
  <si>
    <t>Office Desk</t>
  </si>
  <si>
    <t>P008</t>
  </si>
  <si>
    <t>Filing Cabinet</t>
  </si>
  <si>
    <t>ABC Traders</t>
  </si>
  <si>
    <t>P009</t>
  </si>
  <si>
    <t>Bookshelf</t>
  </si>
  <si>
    <t>P010</t>
  </si>
  <si>
    <t>Whiteboard</t>
  </si>
  <si>
    <t>Office Supplies</t>
  </si>
  <si>
    <t>P011</t>
  </si>
  <si>
    <t>Notebook</t>
  </si>
  <si>
    <t>Stationery Hub</t>
  </si>
  <si>
    <t>P012</t>
  </si>
  <si>
    <t>Ballpoint Pen</t>
  </si>
  <si>
    <t>P013</t>
  </si>
  <si>
    <t>Stapler</t>
  </si>
  <si>
    <t>P014</t>
  </si>
  <si>
    <t>Paper Ream</t>
  </si>
  <si>
    <t>Paper Plus</t>
  </si>
  <si>
    <t>P015</t>
  </si>
  <si>
    <t>Highlighter</t>
  </si>
  <si>
    <t>P016</t>
  </si>
  <si>
    <t>USB Flash Drive</t>
  </si>
  <si>
    <t>Accessories</t>
  </si>
  <si>
    <t>P017</t>
  </si>
  <si>
    <t>External Hard Drive</t>
  </si>
  <si>
    <t>P018</t>
  </si>
  <si>
    <t>HDMI Cable</t>
  </si>
  <si>
    <t>P019</t>
  </si>
  <si>
    <t>Ethernet Cable</t>
  </si>
  <si>
    <t>P020</t>
  </si>
  <si>
    <t>Webcam</t>
  </si>
  <si>
    <t>P021</t>
  </si>
  <si>
    <t>Headset</t>
  </si>
  <si>
    <t>P022</t>
  </si>
  <si>
    <t>Power Bank</t>
  </si>
  <si>
    <t>Mobile World</t>
  </si>
  <si>
    <t>P023</t>
  </si>
  <si>
    <t>Smartphone Stand</t>
  </si>
  <si>
    <t>P024</t>
  </si>
  <si>
    <t>Calculator</t>
  </si>
  <si>
    <t>P025</t>
  </si>
  <si>
    <t>Label Maker</t>
  </si>
  <si>
    <t>P026</t>
  </si>
  <si>
    <t>Scanner</t>
  </si>
  <si>
    <t>P027</t>
  </si>
  <si>
    <t>Projector</t>
  </si>
  <si>
    <t>P028</t>
  </si>
  <si>
    <t>Router</t>
  </si>
  <si>
    <t>P029</t>
  </si>
  <si>
    <t>Network Switch</t>
  </si>
  <si>
    <t>P030</t>
  </si>
  <si>
    <t>SSD Drive</t>
  </si>
  <si>
    <t>P031</t>
  </si>
  <si>
    <t>RAM Module</t>
  </si>
  <si>
    <t>P032</t>
  </si>
  <si>
    <t>Graphics Card</t>
  </si>
  <si>
    <t>P033</t>
  </si>
  <si>
    <t>CPU Cooler</t>
  </si>
  <si>
    <t>P034</t>
  </si>
  <si>
    <t>Laptop Stand</t>
  </si>
  <si>
    <t>P035</t>
  </si>
  <si>
    <t>Mouse Pad</t>
  </si>
  <si>
    <t>P036</t>
  </si>
  <si>
    <t>Desk Lamp</t>
  </si>
  <si>
    <t>P037</t>
  </si>
  <si>
    <t>Surge Protector</t>
  </si>
  <si>
    <t>P038</t>
  </si>
  <si>
    <t>Extension Cord</t>
  </si>
  <si>
    <t>P039</t>
  </si>
  <si>
    <t>Coffee Machine</t>
  </si>
  <si>
    <t>P040</t>
  </si>
  <si>
    <t>Water Dispenser</t>
  </si>
  <si>
    <t>P041</t>
  </si>
  <si>
    <t>Air Purifier</t>
  </si>
  <si>
    <t>P042</t>
  </si>
  <si>
    <t>Laminator</t>
  </si>
  <si>
    <t>P043</t>
  </si>
  <si>
    <t>Shredder</t>
  </si>
  <si>
    <t>P044</t>
  </si>
  <si>
    <t>Tape Dispenser</t>
  </si>
  <si>
    <t>P045</t>
  </si>
  <si>
    <t>Sticky Notes</t>
  </si>
  <si>
    <t>P046</t>
  </si>
  <si>
    <t>Clipboard</t>
  </si>
  <si>
    <t>P047</t>
  </si>
  <si>
    <t>Pencil Box</t>
  </si>
  <si>
    <t>P048</t>
  </si>
  <si>
    <t>Ink Cartridge</t>
  </si>
  <si>
    <t>P049</t>
  </si>
  <si>
    <t>Toner Cartridge</t>
  </si>
  <si>
    <t>P050</t>
  </si>
  <si>
    <t>Barcode Scanner</t>
  </si>
  <si>
    <t>P051</t>
  </si>
  <si>
    <t>Cash Drawer</t>
  </si>
  <si>
    <t>P052</t>
  </si>
  <si>
    <t>Receipt Printer</t>
  </si>
  <si>
    <t>P053</t>
  </si>
  <si>
    <t>POS Terminal</t>
  </si>
  <si>
    <t>P054</t>
  </si>
  <si>
    <t>Tablet</t>
  </si>
  <si>
    <t>P055</t>
  </si>
  <si>
    <t>Smartphone</t>
  </si>
  <si>
    <t>P056</t>
  </si>
  <si>
    <t>Bluetooth Speaker</t>
  </si>
  <si>
    <t>P057</t>
  </si>
  <si>
    <t>Webcam Cover</t>
  </si>
  <si>
    <t>P058</t>
  </si>
  <si>
    <t>Microphone</t>
  </si>
  <si>
    <t>P059</t>
  </si>
  <si>
    <t>Ring Light</t>
  </si>
  <si>
    <t>P060</t>
  </si>
  <si>
    <t>Tripod</t>
  </si>
  <si>
    <t>P061</t>
  </si>
  <si>
    <t>Conference Phone</t>
  </si>
  <si>
    <t>P062</t>
  </si>
  <si>
    <t>UPS Battery</t>
  </si>
  <si>
    <t>P063</t>
  </si>
  <si>
    <t>Power Cable</t>
  </si>
  <si>
    <t>P064</t>
  </si>
  <si>
    <t>HDMI Splitter</t>
  </si>
  <si>
    <t>P065</t>
  </si>
  <si>
    <t>USB Hub</t>
  </si>
  <si>
    <t>P066</t>
  </si>
  <si>
    <t>Docking Station</t>
  </si>
  <si>
    <t>P067</t>
  </si>
  <si>
    <t>Monitor Arm</t>
  </si>
  <si>
    <t>P068</t>
  </si>
  <si>
    <t>Foot Rest</t>
  </si>
  <si>
    <t>P069</t>
  </si>
  <si>
    <t>Cable Organizer</t>
  </si>
  <si>
    <t>P070</t>
  </si>
  <si>
    <t>Cleaning Kit</t>
  </si>
  <si>
    <t>P071</t>
  </si>
  <si>
    <t>Printer Paper Box</t>
  </si>
  <si>
    <t>P072</t>
  </si>
  <si>
    <t>Envelope Pack</t>
  </si>
  <si>
    <t>P073</t>
  </si>
  <si>
    <t>Desk Organizer</t>
  </si>
  <si>
    <t>P074</t>
  </si>
  <si>
    <t>Name Badge</t>
  </si>
  <si>
    <t>P075</t>
  </si>
  <si>
    <t>Visitor Register</t>
  </si>
  <si>
    <t>P076</t>
  </si>
  <si>
    <t>Office Clock</t>
  </si>
  <si>
    <t>P077</t>
  </si>
  <si>
    <t>Wall Calendar</t>
  </si>
  <si>
    <t>P078</t>
  </si>
  <si>
    <t>Marker Pen</t>
  </si>
  <si>
    <t>P079</t>
  </si>
  <si>
    <t>Whiteboard Eraser</t>
  </si>
  <si>
    <t>P080</t>
  </si>
  <si>
    <t>Calculator Roll</t>
  </si>
  <si>
    <t>P081</t>
  </si>
  <si>
    <t>Ethernet Adapter</t>
  </si>
  <si>
    <t>P082</t>
  </si>
  <si>
    <t>USB-C Cable</t>
  </si>
  <si>
    <t>P083</t>
  </si>
  <si>
    <t>Screen Cleaner</t>
  </si>
  <si>
    <t>P084</t>
  </si>
  <si>
    <t>Keyboard Cover</t>
  </si>
  <si>
    <t>P085</t>
  </si>
  <si>
    <t>Laptop Sleeve</t>
  </si>
  <si>
    <t>P086</t>
  </si>
  <si>
    <t>Notebook Stand</t>
  </si>
  <si>
    <t>P087</t>
  </si>
  <si>
    <t>Office Sofa</t>
  </si>
  <si>
    <t>P088</t>
  </si>
  <si>
    <t>Visitor Chair</t>
  </si>
  <si>
    <t>P089</t>
  </si>
  <si>
    <t>Meeting Table</t>
  </si>
  <si>
    <t>P090</t>
  </si>
  <si>
    <t>Storage Rack</t>
  </si>
  <si>
    <t>P091</t>
  </si>
  <si>
    <t>Fire Extinguisher</t>
  </si>
  <si>
    <t>Safety</t>
  </si>
  <si>
    <t>SafeEquip Ltd.</t>
  </si>
  <si>
    <t>P092</t>
  </si>
  <si>
    <t>First Aid Kit</t>
  </si>
  <si>
    <t>P093</t>
  </si>
  <si>
    <t>Safety Helmet</t>
  </si>
  <si>
    <t>P094</t>
  </si>
  <si>
    <t>Safety Gloves</t>
  </si>
  <si>
    <t>P095</t>
  </si>
  <si>
    <t>Face Mask Box</t>
  </si>
  <si>
    <t>P096</t>
  </si>
  <si>
    <t>Hand Sanitizer</t>
  </si>
  <si>
    <t>P097</t>
  </si>
  <si>
    <t>Cleaning Spray</t>
  </si>
  <si>
    <t>P098</t>
  </si>
  <si>
    <t>Floor Sign</t>
  </si>
  <si>
    <t>P099</t>
  </si>
  <si>
    <t>Emergency Torch</t>
  </si>
  <si>
    <t>P100</t>
  </si>
  <si>
    <t>Tool Kit</t>
  </si>
  <si>
    <t>Maintenance</t>
  </si>
  <si>
    <t xml:space="preserve">SUM of Stock In </t>
  </si>
  <si>
    <t>SUM of Stock Out</t>
  </si>
  <si>
    <t>Grand Total</t>
  </si>
  <si>
    <t>COUNTA of Product ID</t>
  </si>
  <si>
    <t>In Stock</t>
  </si>
  <si>
    <t>Low Stock</t>
  </si>
  <si>
    <t>Out of Stock</t>
  </si>
  <si>
    <t>Total Products</t>
  </si>
  <si>
    <t>Total Stock In</t>
  </si>
  <si>
    <t>Total Stock Out</t>
  </si>
  <si>
    <t>Current Stock</t>
  </si>
  <si>
    <t>SUM of Current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</si>
</sst>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s]#,##0"/>
  </numFmts>
  <fonts count="7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sz val="12.0"/>
      <color theme="0"/>
      <name val="Arial"/>
      <scheme val="minor"/>
    </font>
    <font>
      <b/>
      <sz val="12.0"/>
      <color rgb="FFFFFFFF"/>
      <name val="Arial"/>
      <scheme val="minor"/>
    </font>
    <font>
      <sz val="18.0"/>
      <color rgb="FF00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3" fontId="5" numFmtId="0" xfId="0" applyBorder="1" applyFill="1" applyFont="1"/>
    <xf borderId="1" fillId="3" fontId="5" numFmtId="3" xfId="0" applyAlignment="1" applyBorder="1" applyFont="1" applyNumberFormat="1">
      <alignment readingOrder="0"/>
    </xf>
    <xf borderId="0" fillId="3" fontId="6" numFmtId="0" xfId="0" applyFont="1"/>
    <xf borderId="0" fillId="3" fontId="6" numFmtId="164" xfId="0" applyFont="1" applyNumberFormat="1"/>
  </cellXfs>
  <cellStyles count="1">
    <cellStyle xfId="0" name="Normal" builtinId="0"/>
  </cellStyles>
  <dxfs count="4">
    <dxf>
      <font>
        <color theme="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Stock  in Vs Stock 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6'!$A$2:$A$101</c:f>
            </c:strRef>
          </c:cat>
          <c:val>
            <c:numRef>
              <c:f>'Pivot Table 6'!$C$2:$C$101</c:f>
              <c:numCache/>
            </c:numRef>
          </c:val>
        </c:ser>
        <c:axId val="1410622806"/>
        <c:axId val="1863214471"/>
      </c:barChart>
      <c:catAx>
        <c:axId val="1410622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214471"/>
      </c:catAx>
      <c:valAx>
        <c:axId val="1863214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Stock 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622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'Products by Status'!$B$1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'Products by Status'!$A$2:$A$4</c:f>
            </c:strRef>
          </c:cat>
          <c:val>
            <c:numRef>
              <c:f>'Products by Status'!$B$2:$B$4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Stock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Pivot'!$B$1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Pivot'!$A$2:$A$7</c:f>
            </c:strRef>
          </c:cat>
          <c:val>
            <c:numRef>
              <c:f>'Category Pivot'!$B$2:$B$7</c:f>
              <c:numCache/>
            </c:numRef>
          </c:val>
        </c:ser>
        <c:axId val="2045396266"/>
        <c:axId val="2129964082"/>
      </c:barChart>
      <c:catAx>
        <c:axId val="2045396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964082"/>
      </c:catAx>
      <c:valAx>
        <c:axId val="2129964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Current stock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396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Stock by Supplier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'Supplier Pivot'!$B$1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'Supplier Pivot'!$A$2:$A$10</c:f>
            </c:strRef>
          </c:cat>
          <c:val>
            <c:numRef>
              <c:f>'Supplier Pivot'!$B$2:$B$10</c:f>
              <c:numCache/>
            </c:numRef>
          </c:val>
        </c:ser>
        <c:axId val="1998248084"/>
        <c:axId val="515672910"/>
      </c:barChart>
      <c:catAx>
        <c:axId val="1998248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672910"/>
      </c:catAx>
      <c:valAx>
        <c:axId val="515672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Current stock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248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'Products by Status'!$B$1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'Products by Status'!$A$2:$A$4</c:f>
            </c:strRef>
          </c:cat>
          <c:val>
            <c:numRef>
              <c:f>'Products by Status'!$B$2:$B$4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Stock by Supplier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'Supplier Pivot'!$B$1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'Supplier Pivot'!$A$2:$A$10</c:f>
            </c:strRef>
          </c:cat>
          <c:val>
            <c:numRef>
              <c:f>'Supplier Pivot'!$B$2:$B$10</c:f>
              <c:numCache/>
            </c:numRef>
          </c:val>
        </c:ser>
        <c:axId val="200826288"/>
        <c:axId val="1039006463"/>
      </c:barChart>
      <c:catAx>
        <c:axId val="20082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006463"/>
      </c:catAx>
      <c:valAx>
        <c:axId val="1039006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Current stock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26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Stock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Pivot'!$B$1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Pivot'!$A$2:$A$7</c:f>
            </c:strRef>
          </c:cat>
          <c:val>
            <c:numRef>
              <c:f>'Category Pivot'!$B$2:$B$7</c:f>
              <c:numCache/>
            </c:numRef>
          </c:val>
        </c:ser>
        <c:axId val="708789217"/>
        <c:axId val="79194502"/>
      </c:barChart>
      <c:catAx>
        <c:axId val="708789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94502"/>
      </c:catAx>
      <c:valAx>
        <c:axId val="79194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Current stock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789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87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200025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</xdr:colOff>
      <xdr:row>2</xdr:row>
      <xdr:rowOff>200025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1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1</xdr:row>
      <xdr:rowOff>190500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1" sheet="Name"/>
  </cacheSource>
  <cacheFields>
    <cacheField name="Product 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Product Name" numFmtId="0">
      <sharedItems>
        <s v="Laptop"/>
        <s v="Wireless Mouse"/>
        <s v="Keyboard"/>
        <s v="Monitor"/>
        <s v="Printer"/>
        <s v="Office Chair"/>
        <s v="Office Desk"/>
        <s v="Filing Cabinet"/>
        <s v="Bookshelf"/>
        <s v="Whiteboard"/>
        <s v="Notebook"/>
        <s v="Ballpoint Pen"/>
        <s v="Stapler"/>
        <s v="Paper Ream"/>
        <s v="Highlighter"/>
        <s v="USB Flash Drive"/>
        <s v="External Hard Drive"/>
        <s v="HDMI Cable"/>
        <s v="Ethernet Cable"/>
        <s v="Webcam"/>
        <s v="Headset"/>
        <s v="Power Bank"/>
        <s v="Smartphone Stand"/>
        <s v="Calculator"/>
        <s v="Label Maker"/>
        <s v="Scanner"/>
        <s v="Projector"/>
        <s v="Router"/>
        <s v="Network Switch"/>
        <s v="SSD Drive"/>
        <s v="RAM Module"/>
        <s v="Graphics Card"/>
        <s v="CPU Cooler"/>
        <s v="Laptop Stand"/>
        <s v="Mouse Pad"/>
        <s v="Desk Lamp"/>
        <s v="Surge Protector"/>
        <s v="Extension Cord"/>
        <s v="Coffee Machine"/>
        <s v="Water Dispenser"/>
        <s v="Air Purifier"/>
        <s v="Laminator"/>
        <s v="Shredder"/>
        <s v="Tape Dispenser"/>
        <s v="Sticky Notes"/>
        <s v="Clipboard"/>
        <s v="Pencil Box"/>
        <s v="Ink Cartridge"/>
        <s v="Toner Cartridge"/>
        <s v="Barcode Scanner"/>
        <s v="Cash Drawer"/>
        <s v="Receipt Printer"/>
        <s v="POS Terminal"/>
        <s v="Tablet"/>
        <s v="Smartphone"/>
        <s v="Bluetooth Speaker"/>
        <s v="Webcam Cover"/>
        <s v="Microphone"/>
        <s v="Ring Light"/>
        <s v="Tripod"/>
        <s v="Conference Phone"/>
        <s v="UPS Battery"/>
        <s v="Power Cable"/>
        <s v="HDMI Splitter"/>
        <s v="USB Hub"/>
        <s v="Docking Station"/>
        <s v="Monitor Arm"/>
        <s v="Foot Rest"/>
        <s v="Cable Organizer"/>
        <s v="Cleaning Kit"/>
        <s v="Printer Paper Box"/>
        <s v="Envelope Pack"/>
        <s v="Desk Organizer"/>
        <s v="Name Badge"/>
        <s v="Visitor Register"/>
        <s v="Office Clock"/>
        <s v="Wall Calendar"/>
        <s v="Marker Pen"/>
        <s v="Whiteboard Eraser"/>
        <s v="Calculator Roll"/>
        <s v="Ethernet Adapter"/>
        <s v="USB-C Cable"/>
        <s v="Screen Cleaner"/>
        <s v="Keyboard Cover"/>
        <s v="Laptop Sleeve"/>
        <s v="Notebook Stand"/>
        <s v="Office Sofa"/>
        <s v="Visitor Chair"/>
        <s v="Meeting Table"/>
        <s v="Storage Rack"/>
        <s v="Fire Extinguisher"/>
        <s v="First Aid Kit"/>
        <s v="Safety Helmet"/>
        <s v="Safety Gloves"/>
        <s v="Face Mask Box"/>
        <s v="Hand Sanitizer"/>
        <s v="Cleaning Spray"/>
        <s v="Floor Sign"/>
        <s v="Emergency Torch"/>
        <s v="Tool Kit"/>
      </sharedItems>
    </cacheField>
    <cacheField name="Category" numFmtId="0">
      <sharedItems>
        <s v="Electronics"/>
        <s v="Furniture"/>
        <s v="Office Supplies"/>
        <s v="Accessories"/>
        <s v="Safety"/>
        <s v="Maintenance"/>
      </sharedItems>
    </cacheField>
    <cacheField name="Supplier" numFmtId="0">
      <sharedItems>
        <s v="TechWorld Ltd."/>
        <s v="Digital Solutions"/>
        <s v="OfficeTech Supplies"/>
        <s v="Global Office Supplies"/>
        <s v="ABC Traders"/>
        <s v="Stationery Hub"/>
        <s v="Paper Plus"/>
        <s v="Mobile World"/>
        <s v="SafeEquip Ltd."/>
      </sharedItems>
    </cacheField>
    <cacheField name="Stock In " numFmtId="0">
      <sharedItems containsSemiMixedTypes="0" containsString="0" containsNumber="1" containsInteger="1">
        <n v="150.0"/>
        <n v="300.0"/>
        <n v="250.0"/>
        <n v="120.0"/>
        <n v="80.0"/>
        <n v="100.0"/>
        <n v="60.0"/>
        <n v="70.0"/>
        <n v="90.0"/>
        <n v="110.0"/>
        <n v="500.0"/>
        <n v="1000.0"/>
        <n v="180.0"/>
        <n v="350.0"/>
        <n v="220.0"/>
        <n v="260.0"/>
        <n v="95.0"/>
        <n v="280.0"/>
        <n v="240.0"/>
        <n v="130.0"/>
        <n v="170.0"/>
        <n v="210.0"/>
        <n v="190.0"/>
        <n v="160.0"/>
        <n v="75.0"/>
        <n v="40.0"/>
        <n v="140.0"/>
        <n v="50.0"/>
        <n v="200.0"/>
        <n v="35.0"/>
        <n v="30.0"/>
        <n v="45.0"/>
        <n v="55.0"/>
        <n v="400.0"/>
        <n v="65.0"/>
        <n v="25.0"/>
        <n v="20.0"/>
        <n v="15.0"/>
      </sharedItems>
    </cacheField>
    <cacheField name="Stock Out" numFmtId="0">
      <sharedItems containsSemiMixedTypes="0" containsString="0" containsNumber="1" containsInteger="1">
        <n v="45.0"/>
        <n v="120.0"/>
        <n v="90.0"/>
        <n v="40.0"/>
        <n v="20.0"/>
        <n v="35.0"/>
        <n v="18.0"/>
        <n v="22.0"/>
        <n v="30.0"/>
        <n v="28.0"/>
        <n v="210.0"/>
        <n v="450.0"/>
        <n v="70.0"/>
        <n v="140.0"/>
        <n v="115.0"/>
        <n v="32.0"/>
        <n v="100.0"/>
        <n v="85.0"/>
        <n v="50.0"/>
        <n v="60.0"/>
        <n v="75.0"/>
        <n v="65.0"/>
        <n v="55.0"/>
        <n v="25.0"/>
        <n v="170.0"/>
        <n v="245.0"/>
        <n v="95.0"/>
        <n v="180.0"/>
        <n v="200.0"/>
        <n v="15.0"/>
        <n v="10.0"/>
        <n v="165.0"/>
        <n v="395.0"/>
        <n v="148.0"/>
        <n v="238.0"/>
        <n v="110.0"/>
        <n v="42.0"/>
        <n v="205.0"/>
        <n v="8.0"/>
        <n v="285.0"/>
        <n v="58.0"/>
        <n v="160.0"/>
        <n v="68.0"/>
        <n v="178.0"/>
        <n v="248.0"/>
        <n v="340.0"/>
        <n v="118.0"/>
        <n v="185.0"/>
        <n v="79.0"/>
        <n v="299.0"/>
        <n v="135.0"/>
        <n v="190.0"/>
        <n v="240.0"/>
        <n v="5.0"/>
        <n v="48.0"/>
        <n v="195.0"/>
        <n v="298.0"/>
        <n v="230.0"/>
        <n v="29.0"/>
      </sharedItems>
    </cacheField>
    <cacheField name="Current stock" numFmtId="0">
      <sharedItems containsSemiMixedTypes="0" containsString="0" containsNumber="1" containsInteger="1">
        <n v="105.0"/>
        <n v="180.0"/>
        <n v="160.0"/>
        <n v="80.0"/>
        <n v="60.0"/>
        <n v="65.0"/>
        <n v="42.0"/>
        <n v="48.0"/>
        <n v="82.0"/>
        <n v="290.0"/>
        <n v="550.0"/>
        <n v="110.0"/>
        <n v="210.0"/>
        <n v="130.0"/>
        <n v="145.0"/>
        <n v="63.0"/>
        <n v="155.0"/>
        <n v="135.0"/>
        <n v="125.0"/>
        <n v="50.0"/>
        <n v="20.0"/>
        <n v="90.0"/>
        <n v="45.0"/>
        <n v="70.0"/>
        <n v="35.0"/>
        <n v="10.0"/>
        <n v="5.0"/>
        <n v="15.0"/>
        <n v="2.0"/>
        <n v="0.0"/>
        <n v="3.0"/>
        <n v="17.0"/>
        <n v="18.0"/>
        <n v="1.0"/>
      </sharedItems>
    </cacheField>
    <cacheField name="Status" numFmtId="0">
      <sharedItems>
        <s v="In Stock"/>
        <s v="Low Stock"/>
        <s v="Out of Stock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1" sheet="Name"/>
  </cacheSource>
  <cacheFields>
    <cacheField name="Product 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Product Name" numFmtId="0">
      <sharedItems>
        <s v="Laptop"/>
        <s v="Wireless Mouse"/>
        <s v="Keyboard"/>
        <s v="Monitor"/>
        <s v="Printer"/>
        <s v="Office Chair"/>
        <s v="Office Desk"/>
        <s v="Filing Cabinet"/>
        <s v="Bookshelf"/>
        <s v="Whiteboard"/>
        <s v="Notebook"/>
        <s v="Ballpoint Pen"/>
        <s v="Stapler"/>
        <s v="Paper Ream"/>
        <s v="Highlighter"/>
        <s v="USB Flash Drive"/>
        <s v="External Hard Drive"/>
        <s v="HDMI Cable"/>
        <s v="Ethernet Cable"/>
        <s v="Webcam"/>
        <s v="Headset"/>
        <s v="Power Bank"/>
        <s v="Smartphone Stand"/>
        <s v="Calculator"/>
        <s v="Label Maker"/>
        <s v="Scanner"/>
        <s v="Projector"/>
        <s v="Router"/>
        <s v="Network Switch"/>
        <s v="SSD Drive"/>
        <s v="RAM Module"/>
        <s v="Graphics Card"/>
        <s v="CPU Cooler"/>
        <s v="Laptop Stand"/>
        <s v="Mouse Pad"/>
        <s v="Desk Lamp"/>
        <s v="Surge Protector"/>
        <s v="Extension Cord"/>
        <s v="Coffee Machine"/>
        <s v="Water Dispenser"/>
        <s v="Air Purifier"/>
        <s v="Laminator"/>
        <s v="Shredder"/>
        <s v="Tape Dispenser"/>
        <s v="Sticky Notes"/>
        <s v="Clipboard"/>
        <s v="Pencil Box"/>
        <s v="Ink Cartridge"/>
        <s v="Toner Cartridge"/>
        <s v="Barcode Scanner"/>
        <s v="Cash Drawer"/>
        <s v="Receipt Printer"/>
        <s v="POS Terminal"/>
        <s v="Tablet"/>
        <s v="Smartphone"/>
        <s v="Bluetooth Speaker"/>
        <s v="Webcam Cover"/>
        <s v="Microphone"/>
        <s v="Ring Light"/>
        <s v="Tripod"/>
        <s v="Conference Phone"/>
        <s v="UPS Battery"/>
        <s v="Power Cable"/>
        <s v="HDMI Splitter"/>
        <s v="USB Hub"/>
        <s v="Docking Station"/>
        <s v="Monitor Arm"/>
        <s v="Foot Rest"/>
        <s v="Cable Organizer"/>
        <s v="Cleaning Kit"/>
        <s v="Printer Paper Box"/>
        <s v="Envelope Pack"/>
        <s v="Desk Organizer"/>
        <s v="Name Badge"/>
        <s v="Visitor Register"/>
        <s v="Office Clock"/>
        <s v="Wall Calendar"/>
        <s v="Marker Pen"/>
        <s v="Whiteboard Eraser"/>
        <s v="Calculator Roll"/>
        <s v="Ethernet Adapter"/>
        <s v="USB-C Cable"/>
        <s v="Screen Cleaner"/>
        <s v="Keyboard Cover"/>
        <s v="Laptop Sleeve"/>
        <s v="Notebook Stand"/>
        <s v="Office Sofa"/>
        <s v="Visitor Chair"/>
        <s v="Meeting Table"/>
        <s v="Storage Rack"/>
        <s v="Fire Extinguisher"/>
        <s v="First Aid Kit"/>
        <s v="Safety Helmet"/>
        <s v="Safety Gloves"/>
        <s v="Face Mask Box"/>
        <s v="Hand Sanitizer"/>
        <s v="Cleaning Spray"/>
        <s v="Floor Sign"/>
        <s v="Emergency Torch"/>
        <s v="Tool Kit"/>
      </sharedItems>
    </cacheField>
    <cacheField name="Category" numFmtId="0">
      <sharedItems>
        <s v="Electronics"/>
        <s v="Furniture"/>
        <s v="Office Supplies"/>
        <s v="Accessories"/>
        <s v="Safety"/>
        <s v="Maintenance"/>
      </sharedItems>
    </cacheField>
    <cacheField name="Supplier" numFmtId="0">
      <sharedItems>
        <s v="TechWorld Ltd."/>
        <s v="Digital Solutions"/>
        <s v="OfficeTech Supplies"/>
        <s v="Global Office Supplies"/>
        <s v="ABC Traders"/>
        <s v="Stationery Hub"/>
        <s v="Paper Plus"/>
        <s v="Mobile World"/>
        <s v="SafeEquip Ltd."/>
      </sharedItems>
    </cacheField>
    <cacheField name="Stock In " numFmtId="0">
      <sharedItems containsSemiMixedTypes="0" containsString="0" containsNumber="1" containsInteger="1">
        <n v="150.0"/>
        <n v="300.0"/>
        <n v="250.0"/>
        <n v="120.0"/>
        <n v="80.0"/>
        <n v="100.0"/>
        <n v="60.0"/>
        <n v="70.0"/>
        <n v="90.0"/>
        <n v="110.0"/>
        <n v="500.0"/>
        <n v="1000.0"/>
        <n v="180.0"/>
        <n v="350.0"/>
        <n v="220.0"/>
        <n v="260.0"/>
        <n v="95.0"/>
        <n v="280.0"/>
        <n v="240.0"/>
        <n v="130.0"/>
        <n v="170.0"/>
        <n v="210.0"/>
        <n v="190.0"/>
        <n v="160.0"/>
        <n v="75.0"/>
        <n v="40.0"/>
        <n v="140.0"/>
        <n v="50.0"/>
        <n v="200.0"/>
        <n v="35.0"/>
        <n v="30.0"/>
        <n v="45.0"/>
        <n v="55.0"/>
        <n v="400.0"/>
        <n v="65.0"/>
        <n v="25.0"/>
        <n v="20.0"/>
        <n v="15.0"/>
      </sharedItems>
    </cacheField>
    <cacheField name="Stock Out" numFmtId="0">
      <sharedItems containsSemiMixedTypes="0" containsString="0" containsNumber="1" containsInteger="1">
        <n v="45.0"/>
        <n v="120.0"/>
        <n v="90.0"/>
        <n v="40.0"/>
        <n v="20.0"/>
        <n v="35.0"/>
        <n v="18.0"/>
        <n v="22.0"/>
        <n v="30.0"/>
        <n v="28.0"/>
        <n v="210.0"/>
        <n v="450.0"/>
        <n v="70.0"/>
        <n v="140.0"/>
        <n v="115.0"/>
        <n v="32.0"/>
        <n v="100.0"/>
        <n v="85.0"/>
        <n v="50.0"/>
        <n v="60.0"/>
        <n v="75.0"/>
        <n v="65.0"/>
        <n v="55.0"/>
        <n v="25.0"/>
        <n v="170.0"/>
        <n v="245.0"/>
        <n v="95.0"/>
        <n v="180.0"/>
        <n v="200.0"/>
        <n v="15.0"/>
        <n v="10.0"/>
        <n v="165.0"/>
        <n v="395.0"/>
        <n v="148.0"/>
        <n v="238.0"/>
        <n v="110.0"/>
        <n v="42.0"/>
        <n v="205.0"/>
        <n v="8.0"/>
        <n v="285.0"/>
        <n v="58.0"/>
        <n v="160.0"/>
        <n v="68.0"/>
        <n v="178.0"/>
        <n v="248.0"/>
        <n v="340.0"/>
        <n v="118.0"/>
        <n v="185.0"/>
        <n v="79.0"/>
        <n v="299.0"/>
        <n v="135.0"/>
        <n v="190.0"/>
        <n v="240.0"/>
        <n v="5.0"/>
        <n v="48.0"/>
        <n v="195.0"/>
        <n v="298.0"/>
        <n v="230.0"/>
        <n v="29.0"/>
      </sharedItems>
    </cacheField>
    <cacheField name="Current stock" numFmtId="0">
      <sharedItems containsSemiMixedTypes="0" containsString="0" containsNumber="1" containsInteger="1">
        <n v="105.0"/>
        <n v="180.0"/>
        <n v="160.0"/>
        <n v="80.0"/>
        <n v="60.0"/>
        <n v="65.0"/>
        <n v="42.0"/>
        <n v="48.0"/>
        <n v="82.0"/>
        <n v="290.0"/>
        <n v="550.0"/>
        <n v="110.0"/>
        <n v="210.0"/>
        <n v="130.0"/>
        <n v="145.0"/>
        <n v="63.0"/>
        <n v="155.0"/>
        <n v="135.0"/>
        <n v="125.0"/>
        <n v="50.0"/>
        <n v="20.0"/>
        <n v="90.0"/>
        <n v="45.0"/>
        <n v="70.0"/>
        <n v="35.0"/>
        <n v="10.0"/>
        <n v="5.0"/>
        <n v="15.0"/>
        <n v="2.0"/>
        <n v="0.0"/>
        <n v="3.0"/>
        <n v="17.0"/>
        <n v="18.0"/>
        <n v="1.0"/>
      </sharedItems>
    </cacheField>
    <cacheField name="Status" numFmtId="0">
      <sharedItems>
        <s v="In Stock"/>
        <s v="Low Stock"/>
        <s v="Out of Stock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C102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 Name" axis="axisRow" compact="0" outline="0" multipleItemSelectionAllowed="1" showAll="0" sortType="ascending">
      <items>
        <item x="40"/>
        <item x="11"/>
        <item x="49"/>
        <item x="55"/>
        <item x="8"/>
        <item x="68"/>
        <item x="23"/>
        <item x="79"/>
        <item x="50"/>
        <item x="69"/>
        <item x="96"/>
        <item x="45"/>
        <item x="38"/>
        <item x="60"/>
        <item x="32"/>
        <item x="35"/>
        <item x="72"/>
        <item x="65"/>
        <item x="98"/>
        <item x="71"/>
        <item x="80"/>
        <item x="18"/>
        <item x="37"/>
        <item x="16"/>
        <item x="94"/>
        <item x="7"/>
        <item x="90"/>
        <item x="91"/>
        <item x="97"/>
        <item x="67"/>
        <item x="31"/>
        <item x="95"/>
        <item x="17"/>
        <item x="63"/>
        <item x="20"/>
        <item x="14"/>
        <item x="47"/>
        <item x="2"/>
        <item x="83"/>
        <item x="24"/>
        <item x="41"/>
        <item x="0"/>
        <item x="84"/>
        <item x="33"/>
        <item x="77"/>
        <item x="88"/>
        <item x="57"/>
        <item x="3"/>
        <item x="66"/>
        <item x="34"/>
        <item x="73"/>
        <item x="28"/>
        <item x="10"/>
        <item x="85"/>
        <item x="5"/>
        <item x="75"/>
        <item x="6"/>
        <item x="86"/>
        <item x="13"/>
        <item x="46"/>
        <item x="52"/>
        <item x="21"/>
        <item x="62"/>
        <item x="4"/>
        <item x="70"/>
        <item x="26"/>
        <item x="30"/>
        <item x="51"/>
        <item x="58"/>
        <item x="27"/>
        <item x="93"/>
        <item x="92"/>
        <item x="25"/>
        <item x="82"/>
        <item x="42"/>
        <item x="54"/>
        <item x="22"/>
        <item x="29"/>
        <item x="12"/>
        <item x="44"/>
        <item x="89"/>
        <item x="36"/>
        <item x="53"/>
        <item x="43"/>
        <item x="48"/>
        <item x="99"/>
        <item x="59"/>
        <item x="61"/>
        <item x="15"/>
        <item x="64"/>
        <item x="81"/>
        <item x="87"/>
        <item x="74"/>
        <item x="76"/>
        <item x="39"/>
        <item x="19"/>
        <item x="56"/>
        <item x="9"/>
        <item x="78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ock In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ock Ou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Current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SUM of Stock In " fld="4" baseField="0"/>
    <dataField name="SUM of Stock Out" fld="5" baseField="0"/>
  </dataFields>
</pivotTableDefinition>
</file>

<file path=xl/pivotTables/pivotTable2.xml><?xml version="1.0" encoding="utf-8"?>
<pivotTableDefinition xmlns="http://schemas.openxmlformats.org/spreadsheetml/2006/main" name="Products by Status" cacheId="0" dataCaption="" compact="0" compactData="0">
  <location ref="A1:B5" firstHeaderRow="0" firstDataRow="1" firstDataCol="0"/>
  <pivotFields>
    <pivotField name="Produc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ock I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ock 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Current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tatus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7"/>
  </rowFields>
  <dataFields>
    <dataField name="COUNTA of Product ID" fld="0" subtotal="count" baseField="0"/>
  </dataFields>
</pivotTableDefinition>
</file>

<file path=xl/pivotTables/pivotTable3.xml><?xml version="1.0" encoding="utf-8"?>
<pivotTableDefinition xmlns="http://schemas.openxmlformats.org/spreadsheetml/2006/main" name="Supplier Pivot" cacheId="0" dataCaption="" compact="0" compactData="0">
  <location ref="A1:B11" firstHeaderRow="0" firstDataRow="1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pplier" axis="axisRow" compact="0" outline="0" multipleItemSelectionAllowed="1" showAll="0" sortType="ascending">
      <items>
        <item x="4"/>
        <item x="1"/>
        <item x="3"/>
        <item x="7"/>
        <item x="2"/>
        <item x="6"/>
        <item x="8"/>
        <item x="5"/>
        <item x="0"/>
        <item t="default"/>
      </items>
    </pivotField>
    <pivotField name="Stock I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ock 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Current 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Current stock" fld="6" baseField="0"/>
  </dataFields>
</pivotTableDefinition>
</file>

<file path=xl/pivotTables/pivotTable4.xml><?xml version="1.0" encoding="utf-8"?>
<pivotTableDefinition xmlns="http://schemas.openxmlformats.org/spreadsheetml/2006/main" name="Category Pivot" cacheId="1" dataCaption="" compact="0" compactData="0">
  <location ref="A1:B8" firstHeaderRow="0" firstDataRow="1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5"/>
        <item x="2"/>
        <item x="4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ock I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ock 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Current 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dataFields>
    <dataField name="SUM of Current stock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13.13"/>
    <col customWidth="1" min="4" max="4" width="17.63"/>
    <col customWidth="1" min="5" max="5" width="12.25"/>
    <col customWidth="1" min="6" max="6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>
        <v>150.0</v>
      </c>
      <c r="F2" s="4">
        <v>45.0</v>
      </c>
      <c r="G2" s="3">
        <f t="shared" ref="G2:G101" si="1">E2-F2</f>
        <v>105</v>
      </c>
      <c r="H2" s="3" t="str">
        <f t="shared" ref="H2:H101" si="2">IF(G2=0,"Out of Stock",IF(G2&lt;=20,"Low Stock","In Stock"))</f>
        <v>In Stock</v>
      </c>
    </row>
    <row r="3">
      <c r="A3" s="4" t="s">
        <v>13</v>
      </c>
      <c r="B3" s="4" t="s">
        <v>14</v>
      </c>
      <c r="C3" s="4" t="s">
        <v>11</v>
      </c>
      <c r="D3" s="4" t="s">
        <v>12</v>
      </c>
      <c r="E3" s="4">
        <v>300.0</v>
      </c>
      <c r="F3" s="4">
        <v>120.0</v>
      </c>
      <c r="G3" s="3">
        <f t="shared" si="1"/>
        <v>180</v>
      </c>
      <c r="H3" s="3" t="str">
        <f t="shared" si="2"/>
        <v>In Stock</v>
      </c>
    </row>
    <row r="4">
      <c r="A4" s="4" t="s">
        <v>15</v>
      </c>
      <c r="B4" s="4" t="s">
        <v>16</v>
      </c>
      <c r="C4" s="4" t="s">
        <v>11</v>
      </c>
      <c r="D4" s="4" t="s">
        <v>12</v>
      </c>
      <c r="E4" s="4">
        <v>250.0</v>
      </c>
      <c r="F4" s="4">
        <v>90.0</v>
      </c>
      <c r="G4" s="3">
        <f t="shared" si="1"/>
        <v>160</v>
      </c>
      <c r="H4" s="3" t="str">
        <f t="shared" si="2"/>
        <v>In Stock</v>
      </c>
    </row>
    <row r="5">
      <c r="A5" s="4" t="s">
        <v>17</v>
      </c>
      <c r="B5" s="4" t="s">
        <v>18</v>
      </c>
      <c r="C5" s="4" t="s">
        <v>11</v>
      </c>
      <c r="D5" s="4" t="s">
        <v>19</v>
      </c>
      <c r="E5" s="4">
        <v>120.0</v>
      </c>
      <c r="F5" s="4">
        <v>40.0</v>
      </c>
      <c r="G5" s="3">
        <f t="shared" si="1"/>
        <v>80</v>
      </c>
      <c r="H5" s="3" t="str">
        <f t="shared" si="2"/>
        <v>In Stock</v>
      </c>
    </row>
    <row r="6">
      <c r="A6" s="4" t="s">
        <v>20</v>
      </c>
      <c r="B6" s="4" t="s">
        <v>21</v>
      </c>
      <c r="C6" s="4" t="s">
        <v>11</v>
      </c>
      <c r="D6" s="4" t="s">
        <v>22</v>
      </c>
      <c r="E6" s="4">
        <v>80.0</v>
      </c>
      <c r="F6" s="4">
        <v>20.0</v>
      </c>
      <c r="G6" s="3">
        <f t="shared" si="1"/>
        <v>60</v>
      </c>
      <c r="H6" s="3" t="str">
        <f t="shared" si="2"/>
        <v>In Stock</v>
      </c>
    </row>
    <row r="7">
      <c r="A7" s="4" t="s">
        <v>23</v>
      </c>
      <c r="B7" s="4" t="s">
        <v>24</v>
      </c>
      <c r="C7" s="4" t="s">
        <v>25</v>
      </c>
      <c r="D7" s="4" t="s">
        <v>26</v>
      </c>
      <c r="E7" s="4">
        <v>100.0</v>
      </c>
      <c r="F7" s="4">
        <v>35.0</v>
      </c>
      <c r="G7" s="3">
        <f t="shared" si="1"/>
        <v>65</v>
      </c>
      <c r="H7" s="3" t="str">
        <f t="shared" si="2"/>
        <v>In Stock</v>
      </c>
    </row>
    <row r="8">
      <c r="A8" s="4" t="s">
        <v>27</v>
      </c>
      <c r="B8" s="4" t="s">
        <v>28</v>
      </c>
      <c r="C8" s="4" t="s">
        <v>25</v>
      </c>
      <c r="D8" s="4" t="s">
        <v>26</v>
      </c>
      <c r="E8" s="4">
        <v>60.0</v>
      </c>
      <c r="F8" s="4">
        <v>18.0</v>
      </c>
      <c r="G8" s="3">
        <f t="shared" si="1"/>
        <v>42</v>
      </c>
      <c r="H8" s="3" t="str">
        <f t="shared" si="2"/>
        <v>In Stock</v>
      </c>
    </row>
    <row r="9">
      <c r="A9" s="4" t="s">
        <v>29</v>
      </c>
      <c r="B9" s="4" t="s">
        <v>30</v>
      </c>
      <c r="C9" s="4" t="s">
        <v>25</v>
      </c>
      <c r="D9" s="4" t="s">
        <v>31</v>
      </c>
      <c r="E9" s="4">
        <v>70.0</v>
      </c>
      <c r="F9" s="4">
        <v>22.0</v>
      </c>
      <c r="G9" s="3">
        <f t="shared" si="1"/>
        <v>48</v>
      </c>
      <c r="H9" s="3" t="str">
        <f t="shared" si="2"/>
        <v>In Stock</v>
      </c>
    </row>
    <row r="10">
      <c r="A10" s="4" t="s">
        <v>32</v>
      </c>
      <c r="B10" s="4" t="s">
        <v>33</v>
      </c>
      <c r="C10" s="4" t="s">
        <v>25</v>
      </c>
      <c r="D10" s="4" t="s">
        <v>31</v>
      </c>
      <c r="E10" s="4">
        <v>90.0</v>
      </c>
      <c r="F10" s="4">
        <v>30.0</v>
      </c>
      <c r="G10" s="3">
        <f t="shared" si="1"/>
        <v>60</v>
      </c>
      <c r="H10" s="3" t="str">
        <f t="shared" si="2"/>
        <v>In Stock</v>
      </c>
    </row>
    <row r="11">
      <c r="A11" s="4" t="s">
        <v>34</v>
      </c>
      <c r="B11" s="4" t="s">
        <v>35</v>
      </c>
      <c r="C11" s="4" t="s">
        <v>36</v>
      </c>
      <c r="D11" s="4" t="s">
        <v>22</v>
      </c>
      <c r="E11" s="4">
        <v>110.0</v>
      </c>
      <c r="F11" s="4">
        <v>28.0</v>
      </c>
      <c r="G11" s="3">
        <f t="shared" si="1"/>
        <v>82</v>
      </c>
      <c r="H11" s="3" t="str">
        <f t="shared" si="2"/>
        <v>In Stock</v>
      </c>
    </row>
    <row r="12">
      <c r="A12" s="4" t="s">
        <v>37</v>
      </c>
      <c r="B12" s="4" t="s">
        <v>38</v>
      </c>
      <c r="C12" s="4" t="s">
        <v>36</v>
      </c>
      <c r="D12" s="4" t="s">
        <v>39</v>
      </c>
      <c r="E12" s="4">
        <v>500.0</v>
      </c>
      <c r="F12" s="4">
        <v>210.0</v>
      </c>
      <c r="G12" s="3">
        <f t="shared" si="1"/>
        <v>290</v>
      </c>
      <c r="H12" s="3" t="str">
        <f t="shared" si="2"/>
        <v>In Stock</v>
      </c>
    </row>
    <row r="13">
      <c r="A13" s="4" t="s">
        <v>40</v>
      </c>
      <c r="B13" s="4" t="s">
        <v>41</v>
      </c>
      <c r="C13" s="4" t="s">
        <v>36</v>
      </c>
      <c r="D13" s="4" t="s">
        <v>39</v>
      </c>
      <c r="E13" s="4">
        <v>1000.0</v>
      </c>
      <c r="F13" s="4">
        <v>450.0</v>
      </c>
      <c r="G13" s="3">
        <f t="shared" si="1"/>
        <v>550</v>
      </c>
      <c r="H13" s="3" t="str">
        <f t="shared" si="2"/>
        <v>In Stock</v>
      </c>
    </row>
    <row r="14">
      <c r="A14" s="4" t="s">
        <v>42</v>
      </c>
      <c r="B14" s="4" t="s">
        <v>43</v>
      </c>
      <c r="C14" s="4" t="s">
        <v>36</v>
      </c>
      <c r="D14" s="4" t="s">
        <v>39</v>
      </c>
      <c r="E14" s="4">
        <v>180.0</v>
      </c>
      <c r="F14" s="4">
        <v>70.0</v>
      </c>
      <c r="G14" s="3">
        <f t="shared" si="1"/>
        <v>110</v>
      </c>
      <c r="H14" s="3" t="str">
        <f t="shared" si="2"/>
        <v>In Stock</v>
      </c>
    </row>
    <row r="15">
      <c r="A15" s="4" t="s">
        <v>44</v>
      </c>
      <c r="B15" s="4" t="s">
        <v>45</v>
      </c>
      <c r="C15" s="4" t="s">
        <v>36</v>
      </c>
      <c r="D15" s="4" t="s">
        <v>46</v>
      </c>
      <c r="E15" s="4">
        <v>350.0</v>
      </c>
      <c r="F15" s="4">
        <v>140.0</v>
      </c>
      <c r="G15" s="3">
        <f t="shared" si="1"/>
        <v>210</v>
      </c>
      <c r="H15" s="3" t="str">
        <f t="shared" si="2"/>
        <v>In Stock</v>
      </c>
    </row>
    <row r="16">
      <c r="A16" s="4" t="s">
        <v>47</v>
      </c>
      <c r="B16" s="4" t="s">
        <v>48</v>
      </c>
      <c r="C16" s="4" t="s">
        <v>36</v>
      </c>
      <c r="D16" s="4" t="s">
        <v>46</v>
      </c>
      <c r="E16" s="4">
        <v>220.0</v>
      </c>
      <c r="F16" s="4">
        <v>90.0</v>
      </c>
      <c r="G16" s="3">
        <f t="shared" si="1"/>
        <v>130</v>
      </c>
      <c r="H16" s="3" t="str">
        <f t="shared" si="2"/>
        <v>In Stock</v>
      </c>
    </row>
    <row r="17">
      <c r="A17" s="4" t="s">
        <v>49</v>
      </c>
      <c r="B17" s="4" t="s">
        <v>50</v>
      </c>
      <c r="C17" s="4" t="s">
        <v>51</v>
      </c>
      <c r="D17" s="4" t="s">
        <v>12</v>
      </c>
      <c r="E17" s="4">
        <v>260.0</v>
      </c>
      <c r="F17" s="4">
        <v>115.0</v>
      </c>
      <c r="G17" s="3">
        <f t="shared" si="1"/>
        <v>145</v>
      </c>
      <c r="H17" s="3" t="str">
        <f t="shared" si="2"/>
        <v>In Stock</v>
      </c>
    </row>
    <row r="18">
      <c r="A18" s="4" t="s">
        <v>52</v>
      </c>
      <c r="B18" s="4" t="s">
        <v>53</v>
      </c>
      <c r="C18" s="4" t="s">
        <v>51</v>
      </c>
      <c r="D18" s="4" t="s">
        <v>19</v>
      </c>
      <c r="E18" s="4">
        <v>95.0</v>
      </c>
      <c r="F18" s="4">
        <v>32.0</v>
      </c>
      <c r="G18" s="3">
        <f t="shared" si="1"/>
        <v>63</v>
      </c>
      <c r="H18" s="3" t="str">
        <f t="shared" si="2"/>
        <v>In Stock</v>
      </c>
    </row>
    <row r="19">
      <c r="A19" s="4" t="s">
        <v>54</v>
      </c>
      <c r="B19" s="4" t="s">
        <v>55</v>
      </c>
      <c r="C19" s="4" t="s">
        <v>51</v>
      </c>
      <c r="D19" s="4" t="s">
        <v>19</v>
      </c>
      <c r="E19" s="4">
        <v>280.0</v>
      </c>
      <c r="F19" s="4">
        <v>100.0</v>
      </c>
      <c r="G19" s="3">
        <f t="shared" si="1"/>
        <v>180</v>
      </c>
      <c r="H19" s="3" t="str">
        <f t="shared" si="2"/>
        <v>In Stock</v>
      </c>
    </row>
    <row r="20">
      <c r="A20" s="4" t="s">
        <v>56</v>
      </c>
      <c r="B20" s="4" t="s">
        <v>57</v>
      </c>
      <c r="C20" s="4" t="s">
        <v>51</v>
      </c>
      <c r="D20" s="4" t="s">
        <v>12</v>
      </c>
      <c r="E20" s="4">
        <v>240.0</v>
      </c>
      <c r="F20" s="4">
        <v>85.0</v>
      </c>
      <c r="G20" s="3">
        <f t="shared" si="1"/>
        <v>155</v>
      </c>
      <c r="H20" s="3" t="str">
        <f t="shared" si="2"/>
        <v>In Stock</v>
      </c>
    </row>
    <row r="21">
      <c r="A21" s="4" t="s">
        <v>58</v>
      </c>
      <c r="B21" s="4" t="s">
        <v>59</v>
      </c>
      <c r="C21" s="4" t="s">
        <v>11</v>
      </c>
      <c r="D21" s="4" t="s">
        <v>22</v>
      </c>
      <c r="E21" s="4">
        <v>130.0</v>
      </c>
      <c r="F21" s="4">
        <v>50.0</v>
      </c>
      <c r="G21" s="3">
        <f t="shared" si="1"/>
        <v>80</v>
      </c>
      <c r="H21" s="3" t="str">
        <f t="shared" si="2"/>
        <v>In Stock</v>
      </c>
    </row>
    <row r="22">
      <c r="A22" s="4" t="s">
        <v>60</v>
      </c>
      <c r="B22" s="4" t="s">
        <v>61</v>
      </c>
      <c r="C22" s="4" t="s">
        <v>11</v>
      </c>
      <c r="D22" s="4" t="s">
        <v>12</v>
      </c>
      <c r="E22" s="4">
        <v>170.0</v>
      </c>
      <c r="F22" s="4">
        <v>60.0</v>
      </c>
      <c r="G22" s="3">
        <f t="shared" si="1"/>
        <v>110</v>
      </c>
      <c r="H22" s="3" t="str">
        <f t="shared" si="2"/>
        <v>In Stock</v>
      </c>
    </row>
    <row r="23">
      <c r="A23" s="4" t="s">
        <v>62</v>
      </c>
      <c r="B23" s="4" t="s">
        <v>63</v>
      </c>
      <c r="C23" s="4" t="s">
        <v>51</v>
      </c>
      <c r="D23" s="4" t="s">
        <v>64</v>
      </c>
      <c r="E23" s="4">
        <v>210.0</v>
      </c>
      <c r="F23" s="4">
        <v>75.0</v>
      </c>
      <c r="G23" s="3">
        <f t="shared" si="1"/>
        <v>135</v>
      </c>
      <c r="H23" s="3" t="str">
        <f t="shared" si="2"/>
        <v>In Stock</v>
      </c>
    </row>
    <row r="24">
      <c r="A24" s="4" t="s">
        <v>65</v>
      </c>
      <c r="B24" s="4" t="s">
        <v>66</v>
      </c>
      <c r="C24" s="4" t="s">
        <v>51</v>
      </c>
      <c r="D24" s="4" t="s">
        <v>64</v>
      </c>
      <c r="E24" s="4">
        <v>190.0</v>
      </c>
      <c r="F24" s="4">
        <v>65.0</v>
      </c>
      <c r="G24" s="3">
        <f t="shared" si="1"/>
        <v>125</v>
      </c>
      <c r="H24" s="3" t="str">
        <f t="shared" si="2"/>
        <v>In Stock</v>
      </c>
    </row>
    <row r="25">
      <c r="A25" s="4" t="s">
        <v>67</v>
      </c>
      <c r="B25" s="4" t="s">
        <v>68</v>
      </c>
      <c r="C25" s="4" t="s">
        <v>36</v>
      </c>
      <c r="D25" s="4" t="s">
        <v>39</v>
      </c>
      <c r="E25" s="4">
        <v>160.0</v>
      </c>
      <c r="F25" s="4">
        <v>55.0</v>
      </c>
      <c r="G25" s="3">
        <f t="shared" si="1"/>
        <v>105</v>
      </c>
      <c r="H25" s="3" t="str">
        <f t="shared" si="2"/>
        <v>In Stock</v>
      </c>
    </row>
    <row r="26">
      <c r="A26" s="4" t="s">
        <v>69</v>
      </c>
      <c r="B26" s="4" t="s">
        <v>70</v>
      </c>
      <c r="C26" s="4" t="s">
        <v>36</v>
      </c>
      <c r="D26" s="4" t="s">
        <v>46</v>
      </c>
      <c r="E26" s="4">
        <v>75.0</v>
      </c>
      <c r="F26" s="4">
        <v>25.0</v>
      </c>
      <c r="G26" s="3">
        <f t="shared" si="1"/>
        <v>50</v>
      </c>
      <c r="H26" s="3" t="str">
        <f t="shared" si="2"/>
        <v>In Stock</v>
      </c>
    </row>
    <row r="27">
      <c r="A27" s="4" t="s">
        <v>71</v>
      </c>
      <c r="B27" s="4" t="s">
        <v>72</v>
      </c>
      <c r="C27" s="4" t="s">
        <v>11</v>
      </c>
      <c r="D27" s="4" t="s">
        <v>22</v>
      </c>
      <c r="E27" s="4">
        <v>90.0</v>
      </c>
      <c r="F27" s="4">
        <v>30.0</v>
      </c>
      <c r="G27" s="3">
        <f t="shared" si="1"/>
        <v>60</v>
      </c>
      <c r="H27" s="3" t="str">
        <f t="shared" si="2"/>
        <v>In Stock</v>
      </c>
    </row>
    <row r="28">
      <c r="A28" s="4" t="s">
        <v>73</v>
      </c>
      <c r="B28" s="4" t="s">
        <v>74</v>
      </c>
      <c r="C28" s="4" t="s">
        <v>11</v>
      </c>
      <c r="D28" s="4" t="s">
        <v>19</v>
      </c>
      <c r="E28" s="4">
        <v>40.0</v>
      </c>
      <c r="F28" s="4">
        <v>20.0</v>
      </c>
      <c r="G28" s="3">
        <f t="shared" si="1"/>
        <v>20</v>
      </c>
      <c r="H28" s="3" t="str">
        <f t="shared" si="2"/>
        <v>Low Stock</v>
      </c>
    </row>
    <row r="29">
      <c r="A29" s="4" t="s">
        <v>75</v>
      </c>
      <c r="B29" s="4" t="s">
        <v>76</v>
      </c>
      <c r="C29" s="4" t="s">
        <v>11</v>
      </c>
      <c r="D29" s="4" t="s">
        <v>12</v>
      </c>
      <c r="E29" s="4">
        <v>150.0</v>
      </c>
      <c r="F29" s="4">
        <v>60.0</v>
      </c>
      <c r="G29" s="3">
        <f t="shared" si="1"/>
        <v>90</v>
      </c>
      <c r="H29" s="3" t="str">
        <f t="shared" si="2"/>
        <v>In Stock</v>
      </c>
    </row>
    <row r="30">
      <c r="A30" s="4" t="s">
        <v>77</v>
      </c>
      <c r="B30" s="4" t="s">
        <v>78</v>
      </c>
      <c r="C30" s="4" t="s">
        <v>11</v>
      </c>
      <c r="D30" s="4" t="s">
        <v>12</v>
      </c>
      <c r="E30" s="4">
        <v>80.0</v>
      </c>
      <c r="F30" s="4">
        <v>35.0</v>
      </c>
      <c r="G30" s="3">
        <f t="shared" si="1"/>
        <v>45</v>
      </c>
      <c r="H30" s="3" t="str">
        <f t="shared" si="2"/>
        <v>In Stock</v>
      </c>
    </row>
    <row r="31">
      <c r="A31" s="4" t="s">
        <v>79</v>
      </c>
      <c r="B31" s="4" t="s">
        <v>80</v>
      </c>
      <c r="C31" s="4" t="s">
        <v>11</v>
      </c>
      <c r="D31" s="4" t="s">
        <v>19</v>
      </c>
      <c r="E31" s="4">
        <v>120.0</v>
      </c>
      <c r="F31" s="4">
        <v>55.0</v>
      </c>
      <c r="G31" s="3">
        <f t="shared" si="1"/>
        <v>65</v>
      </c>
      <c r="H31" s="3" t="str">
        <f t="shared" si="2"/>
        <v>In Stock</v>
      </c>
    </row>
    <row r="32">
      <c r="A32" s="4" t="s">
        <v>81</v>
      </c>
      <c r="B32" s="4" t="s">
        <v>82</v>
      </c>
      <c r="C32" s="4" t="s">
        <v>11</v>
      </c>
      <c r="D32" s="4" t="s">
        <v>12</v>
      </c>
      <c r="E32" s="4">
        <v>140.0</v>
      </c>
      <c r="F32" s="4">
        <v>70.0</v>
      </c>
      <c r="G32" s="3">
        <f t="shared" si="1"/>
        <v>70</v>
      </c>
      <c r="H32" s="3" t="str">
        <f t="shared" si="2"/>
        <v>In Stock</v>
      </c>
    </row>
    <row r="33">
      <c r="A33" s="4" t="s">
        <v>83</v>
      </c>
      <c r="B33" s="4" t="s">
        <v>84</v>
      </c>
      <c r="C33" s="4" t="s">
        <v>11</v>
      </c>
      <c r="D33" s="4" t="s">
        <v>19</v>
      </c>
      <c r="E33" s="4">
        <v>50.0</v>
      </c>
      <c r="F33" s="4">
        <v>30.0</v>
      </c>
      <c r="G33" s="3">
        <f t="shared" si="1"/>
        <v>20</v>
      </c>
      <c r="H33" s="3" t="str">
        <f t="shared" si="2"/>
        <v>Low Stock</v>
      </c>
    </row>
    <row r="34">
      <c r="A34" s="4" t="s">
        <v>85</v>
      </c>
      <c r="B34" s="4" t="s">
        <v>86</v>
      </c>
      <c r="C34" s="4" t="s">
        <v>11</v>
      </c>
      <c r="D34" s="4" t="s">
        <v>12</v>
      </c>
      <c r="E34" s="4">
        <v>60.0</v>
      </c>
      <c r="F34" s="4">
        <v>25.0</v>
      </c>
      <c r="G34" s="3">
        <f t="shared" si="1"/>
        <v>35</v>
      </c>
      <c r="H34" s="3" t="str">
        <f t="shared" si="2"/>
        <v>In Stock</v>
      </c>
    </row>
    <row r="35">
      <c r="A35" s="4" t="s">
        <v>87</v>
      </c>
      <c r="B35" s="4" t="s">
        <v>88</v>
      </c>
      <c r="C35" s="4" t="s">
        <v>51</v>
      </c>
      <c r="D35" s="4" t="s">
        <v>64</v>
      </c>
      <c r="E35" s="4">
        <v>180.0</v>
      </c>
      <c r="F35" s="4">
        <v>170.0</v>
      </c>
      <c r="G35" s="3">
        <f t="shared" si="1"/>
        <v>10</v>
      </c>
      <c r="H35" s="3" t="str">
        <f t="shared" si="2"/>
        <v>Low Stock</v>
      </c>
    </row>
    <row r="36">
      <c r="A36" s="4" t="s">
        <v>89</v>
      </c>
      <c r="B36" s="4" t="s">
        <v>90</v>
      </c>
      <c r="C36" s="4" t="s">
        <v>51</v>
      </c>
      <c r="D36" s="4" t="s">
        <v>64</v>
      </c>
      <c r="E36" s="4">
        <v>250.0</v>
      </c>
      <c r="F36" s="4">
        <v>245.0</v>
      </c>
      <c r="G36" s="3">
        <f t="shared" si="1"/>
        <v>5</v>
      </c>
      <c r="H36" s="3" t="str">
        <f t="shared" si="2"/>
        <v>Low Stock</v>
      </c>
    </row>
    <row r="37">
      <c r="A37" s="4" t="s">
        <v>91</v>
      </c>
      <c r="B37" s="4" t="s">
        <v>92</v>
      </c>
      <c r="C37" s="4" t="s">
        <v>25</v>
      </c>
      <c r="D37" s="4" t="s">
        <v>26</v>
      </c>
      <c r="E37" s="4">
        <v>110.0</v>
      </c>
      <c r="F37" s="4">
        <v>95.0</v>
      </c>
      <c r="G37" s="3">
        <f t="shared" si="1"/>
        <v>15</v>
      </c>
      <c r="H37" s="3" t="str">
        <f t="shared" si="2"/>
        <v>Low Stock</v>
      </c>
    </row>
    <row r="38">
      <c r="A38" s="4" t="s">
        <v>93</v>
      </c>
      <c r="B38" s="4" t="s">
        <v>94</v>
      </c>
      <c r="C38" s="4" t="s">
        <v>51</v>
      </c>
      <c r="D38" s="4" t="s">
        <v>31</v>
      </c>
      <c r="E38" s="4">
        <v>200.0</v>
      </c>
      <c r="F38" s="4">
        <v>180.0</v>
      </c>
      <c r="G38" s="3">
        <f t="shared" si="1"/>
        <v>20</v>
      </c>
      <c r="H38" s="3" t="str">
        <f t="shared" si="2"/>
        <v>Low Stock</v>
      </c>
    </row>
    <row r="39">
      <c r="A39" s="4" t="s">
        <v>95</v>
      </c>
      <c r="B39" s="4" t="s">
        <v>96</v>
      </c>
      <c r="C39" s="4" t="s">
        <v>51</v>
      </c>
      <c r="D39" s="4" t="s">
        <v>31</v>
      </c>
      <c r="E39" s="4">
        <v>220.0</v>
      </c>
      <c r="F39" s="4">
        <v>200.0</v>
      </c>
      <c r="G39" s="3">
        <f t="shared" si="1"/>
        <v>20</v>
      </c>
      <c r="H39" s="3" t="str">
        <f t="shared" si="2"/>
        <v>Low Stock</v>
      </c>
    </row>
    <row r="40">
      <c r="A40" s="4" t="s">
        <v>97</v>
      </c>
      <c r="B40" s="4" t="s">
        <v>98</v>
      </c>
      <c r="C40" s="4" t="s">
        <v>36</v>
      </c>
      <c r="D40" s="4" t="s">
        <v>22</v>
      </c>
      <c r="E40" s="4">
        <v>35.0</v>
      </c>
      <c r="F40" s="4">
        <v>15.0</v>
      </c>
      <c r="G40" s="3">
        <f t="shared" si="1"/>
        <v>20</v>
      </c>
      <c r="H40" s="3" t="str">
        <f t="shared" si="2"/>
        <v>Low Stock</v>
      </c>
    </row>
    <row r="41">
      <c r="A41" s="4" t="s">
        <v>99</v>
      </c>
      <c r="B41" s="4" t="s">
        <v>100</v>
      </c>
      <c r="C41" s="4" t="s">
        <v>36</v>
      </c>
      <c r="D41" s="4" t="s">
        <v>22</v>
      </c>
      <c r="E41" s="4">
        <v>30.0</v>
      </c>
      <c r="F41" s="4">
        <v>10.0</v>
      </c>
      <c r="G41" s="3">
        <f t="shared" si="1"/>
        <v>20</v>
      </c>
      <c r="H41" s="3" t="str">
        <f t="shared" si="2"/>
        <v>Low Stock</v>
      </c>
    </row>
    <row r="42">
      <c r="A42" s="4" t="s">
        <v>101</v>
      </c>
      <c r="B42" s="4" t="s">
        <v>102</v>
      </c>
      <c r="C42" s="4" t="s">
        <v>11</v>
      </c>
      <c r="D42" s="4" t="s">
        <v>19</v>
      </c>
      <c r="E42" s="4">
        <v>45.0</v>
      </c>
      <c r="F42" s="4">
        <v>25.0</v>
      </c>
      <c r="G42" s="3">
        <f t="shared" si="1"/>
        <v>20</v>
      </c>
      <c r="H42" s="3" t="str">
        <f t="shared" si="2"/>
        <v>Low Stock</v>
      </c>
    </row>
    <row r="43">
      <c r="A43" s="4" t="s">
        <v>103</v>
      </c>
      <c r="B43" s="4" t="s">
        <v>104</v>
      </c>
      <c r="C43" s="4" t="s">
        <v>36</v>
      </c>
      <c r="D43" s="4" t="s">
        <v>46</v>
      </c>
      <c r="E43" s="4">
        <v>60.0</v>
      </c>
      <c r="F43" s="4">
        <v>40.0</v>
      </c>
      <c r="G43" s="3">
        <f t="shared" si="1"/>
        <v>20</v>
      </c>
      <c r="H43" s="3" t="str">
        <f t="shared" si="2"/>
        <v>Low Stock</v>
      </c>
    </row>
    <row r="44">
      <c r="A44" s="4" t="s">
        <v>105</v>
      </c>
      <c r="B44" s="4" t="s">
        <v>106</v>
      </c>
      <c r="C44" s="4" t="s">
        <v>36</v>
      </c>
      <c r="D44" s="4" t="s">
        <v>46</v>
      </c>
      <c r="E44" s="4">
        <v>55.0</v>
      </c>
      <c r="F44" s="4">
        <v>35.0</v>
      </c>
      <c r="G44" s="3">
        <f t="shared" si="1"/>
        <v>20</v>
      </c>
      <c r="H44" s="3" t="str">
        <f t="shared" si="2"/>
        <v>Low Stock</v>
      </c>
    </row>
    <row r="45">
      <c r="A45" s="4" t="s">
        <v>107</v>
      </c>
      <c r="B45" s="4" t="s">
        <v>108</v>
      </c>
      <c r="C45" s="4" t="s">
        <v>36</v>
      </c>
      <c r="D45" s="4" t="s">
        <v>39</v>
      </c>
      <c r="E45" s="4">
        <v>180.0</v>
      </c>
      <c r="F45" s="4">
        <v>165.0</v>
      </c>
      <c r="G45" s="3">
        <f t="shared" si="1"/>
        <v>15</v>
      </c>
      <c r="H45" s="3" t="str">
        <f t="shared" si="2"/>
        <v>Low Stock</v>
      </c>
    </row>
    <row r="46">
      <c r="A46" s="4" t="s">
        <v>109</v>
      </c>
      <c r="B46" s="4" t="s">
        <v>110</v>
      </c>
      <c r="C46" s="4" t="s">
        <v>36</v>
      </c>
      <c r="D46" s="4" t="s">
        <v>39</v>
      </c>
      <c r="E46" s="4">
        <v>400.0</v>
      </c>
      <c r="F46" s="4">
        <v>395.0</v>
      </c>
      <c r="G46" s="3">
        <f t="shared" si="1"/>
        <v>5</v>
      </c>
      <c r="H46" s="3" t="str">
        <f t="shared" si="2"/>
        <v>Low Stock</v>
      </c>
    </row>
    <row r="47">
      <c r="A47" s="4" t="s">
        <v>111</v>
      </c>
      <c r="B47" s="4" t="s">
        <v>112</v>
      </c>
      <c r="C47" s="4" t="s">
        <v>36</v>
      </c>
      <c r="D47" s="4" t="s">
        <v>39</v>
      </c>
      <c r="E47" s="4">
        <v>150.0</v>
      </c>
      <c r="F47" s="4">
        <v>148.0</v>
      </c>
      <c r="G47" s="3">
        <f t="shared" si="1"/>
        <v>2</v>
      </c>
      <c r="H47" s="3" t="str">
        <f t="shared" si="2"/>
        <v>Low Stock</v>
      </c>
    </row>
    <row r="48">
      <c r="A48" s="4" t="s">
        <v>113</v>
      </c>
      <c r="B48" s="4" t="s">
        <v>114</v>
      </c>
      <c r="C48" s="4" t="s">
        <v>36</v>
      </c>
      <c r="D48" s="4" t="s">
        <v>39</v>
      </c>
      <c r="E48" s="4">
        <v>240.0</v>
      </c>
      <c r="F48" s="4">
        <v>238.0</v>
      </c>
      <c r="G48" s="3">
        <f t="shared" si="1"/>
        <v>2</v>
      </c>
      <c r="H48" s="3" t="str">
        <f t="shared" si="2"/>
        <v>Low Stock</v>
      </c>
    </row>
    <row r="49">
      <c r="A49" s="4" t="s">
        <v>115</v>
      </c>
      <c r="B49" s="4" t="s">
        <v>116</v>
      </c>
      <c r="C49" s="4" t="s">
        <v>11</v>
      </c>
      <c r="D49" s="4" t="s">
        <v>22</v>
      </c>
      <c r="E49" s="4">
        <v>130.0</v>
      </c>
      <c r="F49" s="4">
        <v>110.0</v>
      </c>
      <c r="G49" s="3">
        <f t="shared" si="1"/>
        <v>20</v>
      </c>
      <c r="H49" s="3" t="str">
        <f t="shared" si="2"/>
        <v>Low Stock</v>
      </c>
    </row>
    <row r="50">
      <c r="A50" s="4" t="s">
        <v>117</v>
      </c>
      <c r="B50" s="4" t="s">
        <v>118</v>
      </c>
      <c r="C50" s="4" t="s">
        <v>11</v>
      </c>
      <c r="D50" s="4" t="s">
        <v>22</v>
      </c>
      <c r="E50" s="4">
        <v>100.0</v>
      </c>
      <c r="F50" s="4">
        <v>100.0</v>
      </c>
      <c r="G50" s="3">
        <f t="shared" si="1"/>
        <v>0</v>
      </c>
      <c r="H50" s="3" t="str">
        <f t="shared" si="2"/>
        <v>Out of Stock</v>
      </c>
    </row>
    <row r="51">
      <c r="A51" s="4" t="s">
        <v>119</v>
      </c>
      <c r="B51" s="4" t="s">
        <v>120</v>
      </c>
      <c r="C51" s="4" t="s">
        <v>11</v>
      </c>
      <c r="D51" s="4" t="s">
        <v>12</v>
      </c>
      <c r="E51" s="4">
        <v>75.0</v>
      </c>
      <c r="F51" s="4">
        <v>70.0</v>
      </c>
      <c r="G51" s="3">
        <f t="shared" si="1"/>
        <v>5</v>
      </c>
      <c r="H51" s="3" t="str">
        <f t="shared" si="2"/>
        <v>Low Stock</v>
      </c>
    </row>
    <row r="52">
      <c r="A52" s="4" t="s">
        <v>121</v>
      </c>
      <c r="B52" s="4" t="s">
        <v>122</v>
      </c>
      <c r="C52" s="4" t="s">
        <v>11</v>
      </c>
      <c r="D52" s="4" t="s">
        <v>19</v>
      </c>
      <c r="E52" s="4">
        <v>45.0</v>
      </c>
      <c r="F52" s="4">
        <v>42.0</v>
      </c>
      <c r="G52" s="3">
        <f t="shared" si="1"/>
        <v>3</v>
      </c>
      <c r="H52" s="3" t="str">
        <f t="shared" si="2"/>
        <v>Low Stock</v>
      </c>
    </row>
    <row r="53">
      <c r="A53" s="4" t="s">
        <v>123</v>
      </c>
      <c r="B53" s="4" t="s">
        <v>124</v>
      </c>
      <c r="C53" s="4" t="s">
        <v>11</v>
      </c>
      <c r="D53" s="4" t="s">
        <v>19</v>
      </c>
      <c r="E53" s="4">
        <v>55.0</v>
      </c>
      <c r="F53" s="4">
        <v>40.0</v>
      </c>
      <c r="G53" s="3">
        <f t="shared" si="1"/>
        <v>15</v>
      </c>
      <c r="H53" s="3" t="str">
        <f t="shared" si="2"/>
        <v>Low Stock</v>
      </c>
    </row>
    <row r="54">
      <c r="A54" s="4" t="s">
        <v>125</v>
      </c>
      <c r="B54" s="4" t="s">
        <v>126</v>
      </c>
      <c r="C54" s="4" t="s">
        <v>11</v>
      </c>
      <c r="D54" s="4" t="s">
        <v>12</v>
      </c>
      <c r="E54" s="4">
        <v>30.0</v>
      </c>
      <c r="F54" s="4">
        <v>15.0</v>
      </c>
      <c r="G54" s="3">
        <f t="shared" si="1"/>
        <v>15</v>
      </c>
      <c r="H54" s="3" t="str">
        <f t="shared" si="2"/>
        <v>Low Stock</v>
      </c>
    </row>
    <row r="55">
      <c r="A55" s="4" t="s">
        <v>127</v>
      </c>
      <c r="B55" s="4" t="s">
        <v>128</v>
      </c>
      <c r="C55" s="4" t="s">
        <v>11</v>
      </c>
      <c r="D55" s="4" t="s">
        <v>64</v>
      </c>
      <c r="E55" s="4">
        <v>65.0</v>
      </c>
      <c r="F55" s="4">
        <v>45.0</v>
      </c>
      <c r="G55" s="3">
        <f t="shared" si="1"/>
        <v>20</v>
      </c>
      <c r="H55" s="3" t="str">
        <f t="shared" si="2"/>
        <v>Low Stock</v>
      </c>
    </row>
    <row r="56">
      <c r="A56" s="4" t="s">
        <v>129</v>
      </c>
      <c r="B56" s="4" t="s">
        <v>130</v>
      </c>
      <c r="C56" s="4" t="s">
        <v>11</v>
      </c>
      <c r="D56" s="4" t="s">
        <v>64</v>
      </c>
      <c r="E56" s="4">
        <v>90.0</v>
      </c>
      <c r="F56" s="4">
        <v>75.0</v>
      </c>
      <c r="G56" s="3">
        <f t="shared" si="1"/>
        <v>15</v>
      </c>
      <c r="H56" s="3" t="str">
        <f t="shared" si="2"/>
        <v>Low Stock</v>
      </c>
    </row>
    <row r="57">
      <c r="A57" s="4" t="s">
        <v>131</v>
      </c>
      <c r="B57" s="4" t="s">
        <v>132</v>
      </c>
      <c r="C57" s="4" t="s">
        <v>51</v>
      </c>
      <c r="D57" s="4" t="s">
        <v>64</v>
      </c>
      <c r="E57" s="4">
        <v>100.0</v>
      </c>
      <c r="F57" s="4">
        <v>95.0</v>
      </c>
      <c r="G57" s="3">
        <f t="shared" si="1"/>
        <v>5</v>
      </c>
      <c r="H57" s="3" t="str">
        <f t="shared" si="2"/>
        <v>Low Stock</v>
      </c>
    </row>
    <row r="58">
      <c r="A58" s="4" t="s">
        <v>133</v>
      </c>
      <c r="B58" s="4" t="s">
        <v>134</v>
      </c>
      <c r="C58" s="4" t="s">
        <v>51</v>
      </c>
      <c r="D58" s="4" t="s">
        <v>64</v>
      </c>
      <c r="E58" s="4">
        <v>220.0</v>
      </c>
      <c r="F58" s="4">
        <v>205.0</v>
      </c>
      <c r="G58" s="3">
        <f t="shared" si="1"/>
        <v>15</v>
      </c>
      <c r="H58" s="3" t="str">
        <f t="shared" si="2"/>
        <v>Low Stock</v>
      </c>
    </row>
    <row r="59">
      <c r="A59" s="4" t="s">
        <v>135</v>
      </c>
      <c r="B59" s="4" t="s">
        <v>136</v>
      </c>
      <c r="C59" s="4" t="s">
        <v>11</v>
      </c>
      <c r="D59" s="4" t="s">
        <v>12</v>
      </c>
      <c r="E59" s="4">
        <v>80.0</v>
      </c>
      <c r="F59" s="4">
        <v>65.0</v>
      </c>
      <c r="G59" s="3">
        <f t="shared" si="1"/>
        <v>15</v>
      </c>
      <c r="H59" s="3" t="str">
        <f t="shared" si="2"/>
        <v>Low Stock</v>
      </c>
    </row>
    <row r="60">
      <c r="A60" s="4" t="s">
        <v>137</v>
      </c>
      <c r="B60" s="4" t="s">
        <v>138</v>
      </c>
      <c r="C60" s="4" t="s">
        <v>11</v>
      </c>
      <c r="D60" s="4" t="s">
        <v>12</v>
      </c>
      <c r="E60" s="4">
        <v>95.0</v>
      </c>
      <c r="F60" s="4">
        <v>90.0</v>
      </c>
      <c r="G60" s="3">
        <f t="shared" si="1"/>
        <v>5</v>
      </c>
      <c r="H60" s="3" t="str">
        <f t="shared" si="2"/>
        <v>Low Stock</v>
      </c>
    </row>
    <row r="61">
      <c r="A61" s="4" t="s">
        <v>139</v>
      </c>
      <c r="B61" s="4" t="s">
        <v>140</v>
      </c>
      <c r="C61" s="4" t="s">
        <v>51</v>
      </c>
      <c r="D61" s="4" t="s">
        <v>64</v>
      </c>
      <c r="E61" s="4">
        <v>120.0</v>
      </c>
      <c r="F61" s="4">
        <v>110.0</v>
      </c>
      <c r="G61" s="3">
        <f t="shared" si="1"/>
        <v>10</v>
      </c>
      <c r="H61" s="3" t="str">
        <f t="shared" si="2"/>
        <v>Low Stock</v>
      </c>
    </row>
    <row r="62">
      <c r="A62" s="4" t="s">
        <v>141</v>
      </c>
      <c r="B62" s="4" t="s">
        <v>142</v>
      </c>
      <c r="C62" s="4" t="s">
        <v>11</v>
      </c>
      <c r="D62" s="4" t="s">
        <v>22</v>
      </c>
      <c r="E62" s="4">
        <v>25.0</v>
      </c>
      <c r="F62" s="4">
        <v>8.0</v>
      </c>
      <c r="G62" s="3">
        <f t="shared" si="1"/>
        <v>17</v>
      </c>
      <c r="H62" s="3" t="str">
        <f t="shared" si="2"/>
        <v>Low Stock</v>
      </c>
    </row>
    <row r="63">
      <c r="A63" s="4" t="s">
        <v>143</v>
      </c>
      <c r="B63" s="4" t="s">
        <v>144</v>
      </c>
      <c r="C63" s="4" t="s">
        <v>11</v>
      </c>
      <c r="D63" s="4" t="s">
        <v>12</v>
      </c>
      <c r="E63" s="4">
        <v>40.0</v>
      </c>
      <c r="F63" s="4">
        <v>22.0</v>
      </c>
      <c r="G63" s="3">
        <f t="shared" si="1"/>
        <v>18</v>
      </c>
      <c r="H63" s="3" t="str">
        <f t="shared" si="2"/>
        <v>Low Stock</v>
      </c>
    </row>
    <row r="64">
      <c r="A64" s="4" t="s">
        <v>145</v>
      </c>
      <c r="B64" s="4" t="s">
        <v>146</v>
      </c>
      <c r="C64" s="4" t="s">
        <v>51</v>
      </c>
      <c r="D64" s="4" t="s">
        <v>31</v>
      </c>
      <c r="E64" s="4">
        <v>300.0</v>
      </c>
      <c r="F64" s="4">
        <v>285.0</v>
      </c>
      <c r="G64" s="3">
        <f t="shared" si="1"/>
        <v>15</v>
      </c>
      <c r="H64" s="3" t="str">
        <f t="shared" si="2"/>
        <v>Low Stock</v>
      </c>
    </row>
    <row r="65">
      <c r="A65" s="4" t="s">
        <v>147</v>
      </c>
      <c r="B65" s="4" t="s">
        <v>148</v>
      </c>
      <c r="C65" s="4" t="s">
        <v>51</v>
      </c>
      <c r="D65" s="4" t="s">
        <v>19</v>
      </c>
      <c r="E65" s="4">
        <v>60.0</v>
      </c>
      <c r="F65" s="4">
        <v>58.0</v>
      </c>
      <c r="G65" s="3">
        <f t="shared" si="1"/>
        <v>2</v>
      </c>
      <c r="H65" s="3" t="str">
        <f t="shared" si="2"/>
        <v>Low Stock</v>
      </c>
    </row>
    <row r="66">
      <c r="A66" s="4" t="s">
        <v>149</v>
      </c>
      <c r="B66" s="4" t="s">
        <v>150</v>
      </c>
      <c r="C66" s="4" t="s">
        <v>51</v>
      </c>
      <c r="D66" s="4" t="s">
        <v>12</v>
      </c>
      <c r="E66" s="4">
        <v>170.0</v>
      </c>
      <c r="F66" s="4">
        <v>160.0</v>
      </c>
      <c r="G66" s="3">
        <f t="shared" si="1"/>
        <v>10</v>
      </c>
      <c r="H66" s="3" t="str">
        <f t="shared" si="2"/>
        <v>Low Stock</v>
      </c>
    </row>
    <row r="67">
      <c r="A67" s="4" t="s">
        <v>151</v>
      </c>
      <c r="B67" s="4" t="s">
        <v>152</v>
      </c>
      <c r="C67" s="4" t="s">
        <v>51</v>
      </c>
      <c r="D67" s="4" t="s">
        <v>19</v>
      </c>
      <c r="E67" s="4">
        <v>70.0</v>
      </c>
      <c r="F67" s="4">
        <v>68.0</v>
      </c>
      <c r="G67" s="3">
        <f t="shared" si="1"/>
        <v>2</v>
      </c>
      <c r="H67" s="3" t="str">
        <f t="shared" si="2"/>
        <v>Low Stock</v>
      </c>
    </row>
    <row r="68">
      <c r="A68" s="4" t="s">
        <v>153</v>
      </c>
      <c r="B68" s="4" t="s">
        <v>154</v>
      </c>
      <c r="C68" s="4" t="s">
        <v>25</v>
      </c>
      <c r="D68" s="4" t="s">
        <v>26</v>
      </c>
      <c r="E68" s="4">
        <v>80.0</v>
      </c>
      <c r="F68" s="4">
        <v>60.0</v>
      </c>
      <c r="G68" s="3">
        <f t="shared" si="1"/>
        <v>20</v>
      </c>
      <c r="H68" s="3" t="str">
        <f t="shared" si="2"/>
        <v>Low Stock</v>
      </c>
    </row>
    <row r="69">
      <c r="A69" s="4" t="s">
        <v>155</v>
      </c>
      <c r="B69" s="4" t="s">
        <v>156</v>
      </c>
      <c r="C69" s="4" t="s">
        <v>25</v>
      </c>
      <c r="D69" s="4" t="s">
        <v>26</v>
      </c>
      <c r="E69" s="4">
        <v>95.0</v>
      </c>
      <c r="F69" s="4">
        <v>75.0</v>
      </c>
      <c r="G69" s="3">
        <f t="shared" si="1"/>
        <v>20</v>
      </c>
      <c r="H69" s="3" t="str">
        <f t="shared" si="2"/>
        <v>Low Stock</v>
      </c>
    </row>
    <row r="70">
      <c r="A70" s="4" t="s">
        <v>157</v>
      </c>
      <c r="B70" s="4" t="s">
        <v>158</v>
      </c>
      <c r="C70" s="4" t="s">
        <v>51</v>
      </c>
      <c r="D70" s="4" t="s">
        <v>31</v>
      </c>
      <c r="E70" s="4">
        <v>180.0</v>
      </c>
      <c r="F70" s="4">
        <v>178.0</v>
      </c>
      <c r="G70" s="3">
        <f t="shared" si="1"/>
        <v>2</v>
      </c>
      <c r="H70" s="3" t="str">
        <f t="shared" si="2"/>
        <v>Low Stock</v>
      </c>
    </row>
    <row r="71">
      <c r="A71" s="4" t="s">
        <v>159</v>
      </c>
      <c r="B71" s="4" t="s">
        <v>160</v>
      </c>
      <c r="C71" s="4" t="s">
        <v>36</v>
      </c>
      <c r="D71" s="4" t="s">
        <v>46</v>
      </c>
      <c r="E71" s="4">
        <v>140.0</v>
      </c>
      <c r="F71" s="4">
        <v>120.0</v>
      </c>
      <c r="G71" s="3">
        <f t="shared" si="1"/>
        <v>20</v>
      </c>
      <c r="H71" s="3" t="str">
        <f t="shared" si="2"/>
        <v>Low Stock</v>
      </c>
    </row>
    <row r="72">
      <c r="A72" s="4" t="s">
        <v>161</v>
      </c>
      <c r="B72" s="4" t="s">
        <v>162</v>
      </c>
      <c r="C72" s="4" t="s">
        <v>36</v>
      </c>
      <c r="D72" s="4" t="s">
        <v>46</v>
      </c>
      <c r="E72" s="4">
        <v>250.0</v>
      </c>
      <c r="F72" s="4">
        <v>248.0</v>
      </c>
      <c r="G72" s="3">
        <f t="shared" si="1"/>
        <v>2</v>
      </c>
      <c r="H72" s="3" t="str">
        <f t="shared" si="2"/>
        <v>Low Stock</v>
      </c>
    </row>
    <row r="73">
      <c r="A73" s="4" t="s">
        <v>163</v>
      </c>
      <c r="B73" s="4" t="s">
        <v>164</v>
      </c>
      <c r="C73" s="4" t="s">
        <v>36</v>
      </c>
      <c r="D73" s="4" t="s">
        <v>39</v>
      </c>
      <c r="E73" s="4">
        <v>350.0</v>
      </c>
      <c r="F73" s="4">
        <v>340.0</v>
      </c>
      <c r="G73" s="3">
        <f t="shared" si="1"/>
        <v>10</v>
      </c>
      <c r="H73" s="3" t="str">
        <f t="shared" si="2"/>
        <v>Low Stock</v>
      </c>
    </row>
    <row r="74">
      <c r="A74" s="4" t="s">
        <v>165</v>
      </c>
      <c r="B74" s="4" t="s">
        <v>166</v>
      </c>
      <c r="C74" s="4" t="s">
        <v>36</v>
      </c>
      <c r="D74" s="4" t="s">
        <v>39</v>
      </c>
      <c r="E74" s="4">
        <v>120.0</v>
      </c>
      <c r="F74" s="4">
        <v>118.0</v>
      </c>
      <c r="G74" s="3">
        <f t="shared" si="1"/>
        <v>2</v>
      </c>
      <c r="H74" s="3" t="str">
        <f t="shared" si="2"/>
        <v>Low Stock</v>
      </c>
    </row>
    <row r="75">
      <c r="A75" s="4" t="s">
        <v>167</v>
      </c>
      <c r="B75" s="4" t="s">
        <v>168</v>
      </c>
      <c r="C75" s="4" t="s">
        <v>36</v>
      </c>
      <c r="D75" s="4" t="s">
        <v>39</v>
      </c>
      <c r="E75" s="4">
        <v>200.0</v>
      </c>
      <c r="F75" s="4">
        <v>185.0</v>
      </c>
      <c r="G75" s="3">
        <f t="shared" si="1"/>
        <v>15</v>
      </c>
      <c r="H75" s="3" t="str">
        <f t="shared" si="2"/>
        <v>Low Stock</v>
      </c>
    </row>
    <row r="76">
      <c r="A76" s="4" t="s">
        <v>169</v>
      </c>
      <c r="B76" s="4" t="s">
        <v>170</v>
      </c>
      <c r="C76" s="4" t="s">
        <v>36</v>
      </c>
      <c r="D76" s="4" t="s">
        <v>46</v>
      </c>
      <c r="E76" s="4">
        <v>80.0</v>
      </c>
      <c r="F76" s="4">
        <v>79.0</v>
      </c>
      <c r="G76" s="3">
        <f t="shared" si="1"/>
        <v>1</v>
      </c>
      <c r="H76" s="3" t="str">
        <f t="shared" si="2"/>
        <v>Low Stock</v>
      </c>
    </row>
    <row r="77">
      <c r="A77" s="4" t="s">
        <v>171</v>
      </c>
      <c r="B77" s="4" t="s">
        <v>172</v>
      </c>
      <c r="C77" s="4" t="s">
        <v>25</v>
      </c>
      <c r="D77" s="4" t="s">
        <v>26</v>
      </c>
      <c r="E77" s="4">
        <v>50.0</v>
      </c>
      <c r="F77" s="4">
        <v>35.0</v>
      </c>
      <c r="G77" s="3">
        <f t="shared" si="1"/>
        <v>15</v>
      </c>
      <c r="H77" s="3" t="str">
        <f t="shared" si="2"/>
        <v>Low Stock</v>
      </c>
    </row>
    <row r="78">
      <c r="A78" s="4" t="s">
        <v>173</v>
      </c>
      <c r="B78" s="4" t="s">
        <v>174</v>
      </c>
      <c r="C78" s="4" t="s">
        <v>36</v>
      </c>
      <c r="D78" s="4" t="s">
        <v>46</v>
      </c>
      <c r="E78" s="4">
        <v>180.0</v>
      </c>
      <c r="F78" s="4">
        <v>160.0</v>
      </c>
      <c r="G78" s="3">
        <f t="shared" si="1"/>
        <v>20</v>
      </c>
      <c r="H78" s="3" t="str">
        <f t="shared" si="2"/>
        <v>Low Stock</v>
      </c>
    </row>
    <row r="79">
      <c r="A79" s="4" t="s">
        <v>175</v>
      </c>
      <c r="B79" s="4" t="s">
        <v>176</v>
      </c>
      <c r="C79" s="4" t="s">
        <v>36</v>
      </c>
      <c r="D79" s="4" t="s">
        <v>39</v>
      </c>
      <c r="E79" s="4">
        <v>300.0</v>
      </c>
      <c r="F79" s="4">
        <v>299.0</v>
      </c>
      <c r="G79" s="3">
        <f t="shared" si="1"/>
        <v>1</v>
      </c>
      <c r="H79" s="3" t="str">
        <f t="shared" si="2"/>
        <v>Low Stock</v>
      </c>
    </row>
    <row r="80">
      <c r="A80" s="4" t="s">
        <v>177</v>
      </c>
      <c r="B80" s="4" t="s">
        <v>178</v>
      </c>
      <c r="C80" s="4" t="s">
        <v>36</v>
      </c>
      <c r="D80" s="4" t="s">
        <v>39</v>
      </c>
      <c r="E80" s="4">
        <v>150.0</v>
      </c>
      <c r="F80" s="4">
        <v>135.0</v>
      </c>
      <c r="G80" s="3">
        <f t="shared" si="1"/>
        <v>15</v>
      </c>
      <c r="H80" s="3" t="str">
        <f t="shared" si="2"/>
        <v>Low Stock</v>
      </c>
    </row>
    <row r="81">
      <c r="A81" s="4" t="s">
        <v>179</v>
      </c>
      <c r="B81" s="4" t="s">
        <v>180</v>
      </c>
      <c r="C81" s="4" t="s">
        <v>36</v>
      </c>
      <c r="D81" s="4" t="s">
        <v>46</v>
      </c>
      <c r="E81" s="4">
        <v>200.0</v>
      </c>
      <c r="F81" s="4">
        <v>190.0</v>
      </c>
      <c r="G81" s="3">
        <f t="shared" si="1"/>
        <v>10</v>
      </c>
      <c r="H81" s="3" t="str">
        <f t="shared" si="2"/>
        <v>Low Stock</v>
      </c>
    </row>
    <row r="82">
      <c r="A82" s="4" t="s">
        <v>181</v>
      </c>
      <c r="B82" s="4" t="s">
        <v>182</v>
      </c>
      <c r="C82" s="4" t="s">
        <v>51</v>
      </c>
      <c r="D82" s="4" t="s">
        <v>12</v>
      </c>
      <c r="E82" s="4">
        <v>90.0</v>
      </c>
      <c r="F82" s="4">
        <v>85.0</v>
      </c>
      <c r="G82" s="3">
        <f t="shared" si="1"/>
        <v>5</v>
      </c>
      <c r="H82" s="3" t="str">
        <f t="shared" si="2"/>
        <v>Low Stock</v>
      </c>
    </row>
    <row r="83">
      <c r="A83" s="4" t="s">
        <v>183</v>
      </c>
      <c r="B83" s="4" t="s">
        <v>184</v>
      </c>
      <c r="C83" s="4" t="s">
        <v>51</v>
      </c>
      <c r="D83" s="4" t="s">
        <v>64</v>
      </c>
      <c r="E83" s="4">
        <v>250.0</v>
      </c>
      <c r="F83" s="4">
        <v>240.0</v>
      </c>
      <c r="G83" s="3">
        <f t="shared" si="1"/>
        <v>10</v>
      </c>
      <c r="H83" s="3" t="str">
        <f t="shared" si="2"/>
        <v>Low Stock</v>
      </c>
    </row>
    <row r="84">
      <c r="A84" s="4" t="s">
        <v>185</v>
      </c>
      <c r="B84" s="4" t="s">
        <v>186</v>
      </c>
      <c r="C84" s="4" t="s">
        <v>51</v>
      </c>
      <c r="D84" s="4" t="s">
        <v>31</v>
      </c>
      <c r="E84" s="4">
        <v>180.0</v>
      </c>
      <c r="F84" s="4">
        <v>165.0</v>
      </c>
      <c r="G84" s="3">
        <f t="shared" si="1"/>
        <v>15</v>
      </c>
      <c r="H84" s="3" t="str">
        <f t="shared" si="2"/>
        <v>Low Stock</v>
      </c>
    </row>
    <row r="85">
      <c r="A85" s="4" t="s">
        <v>187</v>
      </c>
      <c r="B85" s="4" t="s">
        <v>188</v>
      </c>
      <c r="C85" s="4" t="s">
        <v>51</v>
      </c>
      <c r="D85" s="4" t="s">
        <v>64</v>
      </c>
      <c r="E85" s="4">
        <v>130.0</v>
      </c>
      <c r="F85" s="4">
        <v>120.0</v>
      </c>
      <c r="G85" s="3">
        <f t="shared" si="1"/>
        <v>10</v>
      </c>
      <c r="H85" s="3" t="str">
        <f t="shared" si="2"/>
        <v>Low Stock</v>
      </c>
    </row>
    <row r="86">
      <c r="A86" s="4" t="s">
        <v>189</v>
      </c>
      <c r="B86" s="4" t="s">
        <v>190</v>
      </c>
      <c r="C86" s="4" t="s">
        <v>51</v>
      </c>
      <c r="D86" s="4" t="s">
        <v>64</v>
      </c>
      <c r="E86" s="4">
        <v>110.0</v>
      </c>
      <c r="F86" s="4">
        <v>100.0</v>
      </c>
      <c r="G86" s="3">
        <f t="shared" si="1"/>
        <v>10</v>
      </c>
      <c r="H86" s="3" t="str">
        <f t="shared" si="2"/>
        <v>Low Stock</v>
      </c>
    </row>
    <row r="87">
      <c r="A87" s="4" t="s">
        <v>191</v>
      </c>
      <c r="B87" s="4" t="s">
        <v>192</v>
      </c>
      <c r="C87" s="4" t="s">
        <v>51</v>
      </c>
      <c r="D87" s="4" t="s">
        <v>26</v>
      </c>
      <c r="E87" s="4">
        <v>75.0</v>
      </c>
      <c r="F87" s="4">
        <v>55.0</v>
      </c>
      <c r="G87" s="3">
        <f t="shared" si="1"/>
        <v>20</v>
      </c>
      <c r="H87" s="3" t="str">
        <f t="shared" si="2"/>
        <v>Low Stock</v>
      </c>
    </row>
    <row r="88">
      <c r="A88" s="4" t="s">
        <v>193</v>
      </c>
      <c r="B88" s="4" t="s">
        <v>194</v>
      </c>
      <c r="C88" s="4" t="s">
        <v>25</v>
      </c>
      <c r="D88" s="4" t="s">
        <v>26</v>
      </c>
      <c r="E88" s="4">
        <v>20.0</v>
      </c>
      <c r="F88" s="4">
        <v>20.0</v>
      </c>
      <c r="G88" s="3">
        <f t="shared" si="1"/>
        <v>0</v>
      </c>
      <c r="H88" s="3" t="str">
        <f t="shared" si="2"/>
        <v>Out of Stock</v>
      </c>
    </row>
    <row r="89">
      <c r="A89" s="4" t="s">
        <v>195</v>
      </c>
      <c r="B89" s="4" t="s">
        <v>196</v>
      </c>
      <c r="C89" s="4" t="s">
        <v>25</v>
      </c>
      <c r="D89" s="4" t="s">
        <v>26</v>
      </c>
      <c r="E89" s="4">
        <v>35.0</v>
      </c>
      <c r="F89" s="4">
        <v>30.0</v>
      </c>
      <c r="G89" s="3">
        <f t="shared" si="1"/>
        <v>5</v>
      </c>
      <c r="H89" s="3" t="str">
        <f t="shared" si="2"/>
        <v>Low Stock</v>
      </c>
    </row>
    <row r="90">
      <c r="A90" s="4" t="s">
        <v>197</v>
      </c>
      <c r="B90" s="4" t="s">
        <v>198</v>
      </c>
      <c r="C90" s="4" t="s">
        <v>25</v>
      </c>
      <c r="D90" s="4" t="s">
        <v>31</v>
      </c>
      <c r="E90" s="4">
        <v>15.0</v>
      </c>
      <c r="F90" s="4">
        <v>5.0</v>
      </c>
      <c r="G90" s="3">
        <f t="shared" si="1"/>
        <v>10</v>
      </c>
      <c r="H90" s="3" t="str">
        <f t="shared" si="2"/>
        <v>Low Stock</v>
      </c>
    </row>
    <row r="91">
      <c r="A91" s="4" t="s">
        <v>199</v>
      </c>
      <c r="B91" s="4" t="s">
        <v>200</v>
      </c>
      <c r="C91" s="4" t="s">
        <v>25</v>
      </c>
      <c r="D91" s="4" t="s">
        <v>31</v>
      </c>
      <c r="E91" s="4">
        <v>25.0</v>
      </c>
      <c r="F91" s="4">
        <v>10.0</v>
      </c>
      <c r="G91" s="3">
        <f t="shared" si="1"/>
        <v>15</v>
      </c>
      <c r="H91" s="3" t="str">
        <f t="shared" si="2"/>
        <v>Low Stock</v>
      </c>
    </row>
    <row r="92">
      <c r="A92" s="4" t="s">
        <v>201</v>
      </c>
      <c r="B92" s="4" t="s">
        <v>202</v>
      </c>
      <c r="C92" s="4" t="s">
        <v>203</v>
      </c>
      <c r="D92" s="4" t="s">
        <v>204</v>
      </c>
      <c r="E92" s="4">
        <v>40.0</v>
      </c>
      <c r="F92" s="4">
        <v>35.0</v>
      </c>
      <c r="G92" s="3">
        <f t="shared" si="1"/>
        <v>5</v>
      </c>
      <c r="H92" s="3" t="str">
        <f t="shared" si="2"/>
        <v>Low Stock</v>
      </c>
    </row>
    <row r="93">
      <c r="A93" s="4" t="s">
        <v>205</v>
      </c>
      <c r="B93" s="4" t="s">
        <v>206</v>
      </c>
      <c r="C93" s="4" t="s">
        <v>203</v>
      </c>
      <c r="D93" s="4" t="s">
        <v>204</v>
      </c>
      <c r="E93" s="4">
        <v>50.0</v>
      </c>
      <c r="F93" s="4">
        <v>48.0</v>
      </c>
      <c r="G93" s="3">
        <f t="shared" si="1"/>
        <v>2</v>
      </c>
      <c r="H93" s="3" t="str">
        <f t="shared" si="2"/>
        <v>Low Stock</v>
      </c>
    </row>
    <row r="94">
      <c r="A94" s="4" t="s">
        <v>207</v>
      </c>
      <c r="B94" s="4" t="s">
        <v>208</v>
      </c>
      <c r="C94" s="4" t="s">
        <v>203</v>
      </c>
      <c r="D94" s="4" t="s">
        <v>204</v>
      </c>
      <c r="E94" s="4">
        <v>80.0</v>
      </c>
      <c r="F94" s="4">
        <v>70.0</v>
      </c>
      <c r="G94" s="3">
        <f t="shared" si="1"/>
        <v>10</v>
      </c>
      <c r="H94" s="3" t="str">
        <f t="shared" si="2"/>
        <v>Low Stock</v>
      </c>
    </row>
    <row r="95">
      <c r="A95" s="4" t="s">
        <v>209</v>
      </c>
      <c r="B95" s="4" t="s">
        <v>210</v>
      </c>
      <c r="C95" s="4" t="s">
        <v>203</v>
      </c>
      <c r="D95" s="4" t="s">
        <v>204</v>
      </c>
      <c r="E95" s="4">
        <v>200.0</v>
      </c>
      <c r="F95" s="4">
        <v>195.0</v>
      </c>
      <c r="G95" s="3">
        <f t="shared" si="1"/>
        <v>5</v>
      </c>
      <c r="H95" s="3" t="str">
        <f t="shared" si="2"/>
        <v>Low Stock</v>
      </c>
    </row>
    <row r="96">
      <c r="A96" s="4" t="s">
        <v>211</v>
      </c>
      <c r="B96" s="4" t="s">
        <v>212</v>
      </c>
      <c r="C96" s="4" t="s">
        <v>203</v>
      </c>
      <c r="D96" s="4" t="s">
        <v>204</v>
      </c>
      <c r="E96" s="4">
        <v>300.0</v>
      </c>
      <c r="F96" s="4">
        <v>298.0</v>
      </c>
      <c r="G96" s="3">
        <f t="shared" si="1"/>
        <v>2</v>
      </c>
      <c r="H96" s="3" t="str">
        <f t="shared" si="2"/>
        <v>Low Stock</v>
      </c>
    </row>
    <row r="97">
      <c r="A97" s="4" t="s">
        <v>213</v>
      </c>
      <c r="B97" s="4" t="s">
        <v>214</v>
      </c>
      <c r="C97" s="4" t="s">
        <v>203</v>
      </c>
      <c r="D97" s="4" t="s">
        <v>204</v>
      </c>
      <c r="E97" s="4">
        <v>250.0</v>
      </c>
      <c r="F97" s="4">
        <v>230.0</v>
      </c>
      <c r="G97" s="3">
        <f t="shared" si="1"/>
        <v>20</v>
      </c>
      <c r="H97" s="3" t="str">
        <f t="shared" si="2"/>
        <v>Low Stock</v>
      </c>
    </row>
    <row r="98">
      <c r="A98" s="4" t="s">
        <v>215</v>
      </c>
      <c r="B98" s="4" t="s">
        <v>216</v>
      </c>
      <c r="C98" s="4" t="s">
        <v>203</v>
      </c>
      <c r="D98" s="4" t="s">
        <v>204</v>
      </c>
      <c r="E98" s="4">
        <v>150.0</v>
      </c>
      <c r="F98" s="4">
        <v>140.0</v>
      </c>
      <c r="G98" s="3">
        <f t="shared" si="1"/>
        <v>10</v>
      </c>
      <c r="H98" s="3" t="str">
        <f t="shared" si="2"/>
        <v>Low Stock</v>
      </c>
    </row>
    <row r="99">
      <c r="A99" s="4" t="s">
        <v>217</v>
      </c>
      <c r="B99" s="4" t="s">
        <v>218</v>
      </c>
      <c r="C99" s="4" t="s">
        <v>203</v>
      </c>
      <c r="D99" s="4" t="s">
        <v>204</v>
      </c>
      <c r="E99" s="4">
        <v>30.0</v>
      </c>
      <c r="F99" s="4">
        <v>29.0</v>
      </c>
      <c r="G99" s="3">
        <f t="shared" si="1"/>
        <v>1</v>
      </c>
      <c r="H99" s="3" t="str">
        <f t="shared" si="2"/>
        <v>Low Stock</v>
      </c>
    </row>
    <row r="100">
      <c r="A100" s="4" t="s">
        <v>219</v>
      </c>
      <c r="B100" s="4" t="s">
        <v>220</v>
      </c>
      <c r="C100" s="4" t="s">
        <v>203</v>
      </c>
      <c r="D100" s="4" t="s">
        <v>204</v>
      </c>
      <c r="E100" s="4">
        <v>45.0</v>
      </c>
      <c r="F100" s="4">
        <v>40.0</v>
      </c>
      <c r="G100" s="3">
        <f t="shared" si="1"/>
        <v>5</v>
      </c>
      <c r="H100" s="3" t="str">
        <f t="shared" si="2"/>
        <v>Low Stock</v>
      </c>
    </row>
    <row r="101">
      <c r="A101" s="4" t="s">
        <v>221</v>
      </c>
      <c r="B101" s="4" t="s">
        <v>222</v>
      </c>
      <c r="C101" s="4" t="s">
        <v>223</v>
      </c>
      <c r="D101" s="4" t="s">
        <v>31</v>
      </c>
      <c r="E101" s="4">
        <v>60.0</v>
      </c>
      <c r="F101" s="4">
        <v>55.0</v>
      </c>
      <c r="G101" s="3">
        <f t="shared" si="1"/>
        <v>5</v>
      </c>
      <c r="H101" s="3" t="str">
        <f t="shared" si="2"/>
        <v>Low Stock</v>
      </c>
    </row>
  </sheetData>
  <conditionalFormatting sqref="H2:H101">
    <cfRule type="cellIs" dxfId="0" priority="1" operator="equal">
      <formula>"In stock"</formula>
    </cfRule>
  </conditionalFormatting>
  <conditionalFormatting sqref="G2:G10">
    <cfRule type="notContainsBlanks" dxfId="1" priority="2">
      <formula>LEN(TRIM(G2))&gt;0</formula>
    </cfRule>
  </conditionalFormatting>
  <conditionalFormatting sqref="H2:H101">
    <cfRule type="cellIs" dxfId="2" priority="3" operator="equal">
      <formula>"Low Stock"</formula>
    </cfRule>
  </conditionalFormatting>
  <conditionalFormatting sqref="H2:H101">
    <cfRule type="cellIs" dxfId="3" priority="4" operator="equal">
      <formula>"Out of Stock"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13.5"/>
    <col customWidth="1" min="3" max="3" width="14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63"/>
    <col customWidth="1" min="4" max="4" width="16.38"/>
    <col customWidth="1" min="6" max="6" width="16.88"/>
    <col customWidth="1" min="8" max="8" width="15.25"/>
  </cols>
  <sheetData>
    <row r="1">
      <c r="B1" s="5" t="s">
        <v>231</v>
      </c>
      <c r="D1" s="6" t="s">
        <v>232</v>
      </c>
      <c r="F1" s="5" t="s">
        <v>233</v>
      </c>
      <c r="H1" s="5" t="s">
        <v>234</v>
      </c>
    </row>
    <row r="2">
      <c r="B2" s="7">
        <f>COUNTA(Name!A1:A100)</f>
        <v>100</v>
      </c>
      <c r="D2" s="8">
        <v>14655.0</v>
      </c>
      <c r="F2" s="8">
        <v>10211.0</v>
      </c>
      <c r="H2" s="8">
        <v>4444.0</v>
      </c>
    </row>
    <row r="3">
      <c r="B3" s="9"/>
      <c r="D3" s="10"/>
      <c r="F3" s="10"/>
      <c r="H3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</cols>
  <sheetData>
    <row r="1"/>
    <row r="2"/>
    <row r="3"/>
    <row r="4"/>
    <row r="5"/>
    <row r="6"/>
    <row r="7"/>
    <row r="8"/>
  </sheetData>
  <drawing r:id="rId2"/>
</worksheet>
</file>