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ustomers by Assigned Employee" sheetId="2" r:id="rId6"/>
    <sheet state="visible" name="Dashboard" sheetId="3" r:id="rId7"/>
    <sheet state="visible" name="Customers by Company" sheetId="4" r:id="rId8"/>
    <sheet state="visible" name="Customers by Country" sheetId="5" r:id="rId9"/>
    <sheet state="visible" name="Customers by Lead Status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<sst xmlns="http://schemas.openxmlformats.org/spreadsheetml/2006/main" count="46" uniqueCount="36">
  <si>
    <t>Customer ID</t>
  </si>
  <si>
    <t>Customer Name</t>
  </si>
  <si>
    <t>Email</t>
  </si>
  <si>
    <t>Phone</t>
  </si>
  <si>
    <t xml:space="preserve">Company </t>
  </si>
  <si>
    <t>Country</t>
  </si>
  <si>
    <t>Lead Status</t>
  </si>
  <si>
    <t>Last Contact</t>
  </si>
  <si>
    <t>Next Follow-up</t>
  </si>
  <si>
    <t>Assigned To</t>
  </si>
  <si>
    <t>COUNTA of Customer ID</t>
  </si>
  <si>
    <t>David</t>
  </si>
  <si>
    <t>Emma</t>
  </si>
  <si>
    <t>John</t>
  </si>
  <si>
    <t>Michael</t>
  </si>
  <si>
    <t>Sarah</t>
  </si>
  <si>
    <t>Grand Total</t>
  </si>
  <si>
    <t>CRM Dashboard</t>
  </si>
  <si>
    <t>Total Customers</t>
  </si>
  <si>
    <t>New Leads</t>
  </si>
  <si>
    <t>Won Customers</t>
  </si>
  <si>
    <t>Top Country</t>
  </si>
  <si>
    <t>ABC Pvt Ltd</t>
  </si>
  <si>
    <t>Everest Traders</t>
  </si>
  <si>
    <t>Global Tech</t>
  </si>
  <si>
    <t>Himalayan Foods</t>
  </si>
  <si>
    <t>Sky Solutions</t>
  </si>
  <si>
    <t>Australia</t>
  </si>
  <si>
    <t>Canada</t>
  </si>
  <si>
    <t>India</t>
  </si>
  <si>
    <t>Nepal</t>
  </si>
  <si>
    <t>USA</t>
  </si>
  <si>
    <t>Contacted</t>
  </si>
  <si>
    <t>Lost</t>
  </si>
  <si>
    <t>New</t>
  </si>
  <si>
    <t>Won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</si>
</sst>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4" xfId="0" applyFont="1" applyNumberFormat="1"/>
    <xf borderId="0" fillId="0" fontId="2" numFmtId="0" xfId="0" applyAlignment="1" applyFont="1">
      <alignment horizontal="center" readingOrder="0"/>
    </xf>
    <xf borderId="0" fillId="0" fontId="3" numFmtId="0" xfId="0" applyFont="1"/>
    <xf borderId="0" fillId="2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2" fontId="5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2" fontId="5" numFmtId="0" xfId="0" applyAlignment="1" applyFont="1">
      <alignment horizontal="center" vertical="center"/>
    </xf>
    <xf borderId="0" fillId="2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Customers by Assigned Employee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'Customers by Assigned Employee'!$B$1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'Customers by Assigned Employee'!$A$2:$A$6</c:f>
            </c:strRef>
          </c:cat>
          <c:val>
            <c:numRef>
              <c:f>'Customers by Assigned Employee'!$B$2:$B$6</c:f>
              <c:numCache/>
            </c:numRef>
          </c:val>
        </c:ser>
        <c:axId val="1677934803"/>
        <c:axId val="840592310"/>
      </c:barChart>
      <c:catAx>
        <c:axId val="1677934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Assigned 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0592310"/>
      </c:catAx>
      <c:valAx>
        <c:axId val="840592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79348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Customers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'Customers by Country'!$B$1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'Customers by Country'!$A$2:$A$6</c:f>
            </c:strRef>
          </c:cat>
          <c:val>
            <c:numRef>
              <c:f>'Customers by Country'!$B$2:$B$6</c:f>
              <c:numCache/>
            </c:numRef>
          </c:val>
        </c:ser>
        <c:axId val="641434598"/>
        <c:axId val="1544052033"/>
      </c:barChart>
      <c:catAx>
        <c:axId val="641434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052033"/>
      </c:catAx>
      <c:valAx>
        <c:axId val="1544052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14345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 Status Distibution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'Customers by Lead Status'!$B$1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'Customers by Lead Status'!$A$2:$A$5</c:f>
            </c:strRef>
          </c:cat>
          <c:val>
            <c:numRef>
              <c:f>'Customers by Lead Status'!$B$2:$B$5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Customers by Company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'Customers by Company'!$B$1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'Customers by Company'!$A$2:$A$6</c:f>
            </c:strRef>
          </c:cat>
          <c:val>
            <c:numRef>
              <c:f>'Customers by Company'!$B$2:$B$6</c:f>
              <c:numCache/>
            </c:numRef>
          </c:val>
        </c:ser>
        <c:axId val="268407722"/>
        <c:axId val="1605561115"/>
      </c:barChart>
      <c:catAx>
        <c:axId val="268407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5561115"/>
      </c:catAx>
      <c:valAx>
        <c:axId val="1605561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84077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Customers by Assigned Employee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'Customers by Assigned Employee'!$B$1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'Customers by Assigned Employee'!$A$2:$A$6</c:f>
            </c:strRef>
          </c:cat>
          <c:val>
            <c:numRef>
              <c:f>'Customers by Assigned Employee'!$B$2:$B$6</c:f>
              <c:numCache/>
            </c:numRef>
          </c:val>
        </c:ser>
        <c:axId val="2021146496"/>
        <c:axId val="1059026685"/>
      </c:barChart>
      <c:catAx>
        <c:axId val="2021146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Assigned 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9026685"/>
      </c:catAx>
      <c:valAx>
        <c:axId val="1059026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146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Customers by Company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'Customers by Company'!$B$1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'Customers by Company'!$A$2:$A$6</c:f>
            </c:strRef>
          </c:cat>
          <c:val>
            <c:numRef>
              <c:f>'Customers by Company'!$B$2:$B$6</c:f>
              <c:numCache/>
            </c:numRef>
          </c:val>
        </c:ser>
        <c:axId val="1959661671"/>
        <c:axId val="789615341"/>
      </c:barChart>
      <c:catAx>
        <c:axId val="1959661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615341"/>
      </c:catAx>
      <c:valAx>
        <c:axId val="789615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6616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Customers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'Customers by Country'!$B$1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'Customers by Country'!$A$2:$A$6</c:f>
            </c:strRef>
          </c:cat>
          <c:val>
            <c:numRef>
              <c:f>'Customers by Country'!$B$2:$B$6</c:f>
              <c:numCache/>
            </c:numRef>
          </c:val>
        </c:ser>
        <c:axId val="1383575349"/>
        <c:axId val="947267476"/>
      </c:barChart>
      <c:catAx>
        <c:axId val="1383575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7267476"/>
      </c:catAx>
      <c:valAx>
        <c:axId val="947267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35753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 Status Distibution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'Customers by Lead Status'!$B$1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'Customers by Lead Status'!$A$2:$A$5</c:f>
            </c:strRef>
          </c:cat>
          <c:val>
            <c:numRef>
              <c:f>'Customers by Lead Status'!$B$2:$B$5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1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5</xdr:row>
      <xdr:rowOff>76200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19050</xdr:colOff>
      <xdr:row>5</xdr:row>
      <xdr:rowOff>76200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352425</xdr:colOff>
      <xdr:row>25</xdr:row>
      <xdr:rowOff>9525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19050</xdr:colOff>
      <xdr:row>25</xdr:row>
      <xdr:rowOff>9525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1</xdr:row>
      <xdr:rowOff>47625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1</xdr:row>
      <xdr:rowOff>95250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1</xdr:row>
      <xdr:rowOff>142875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1" sheet="Sheet1"/>
  </cacheSource>
  <cacheFields>
    <cacheField name="Customer ID" numFmtId="0">
      <sharedItems>
        <s v="CUST-001"/>
        <s v="CUST-002"/>
        <s v="CUST-003"/>
        <s v="CUST-004"/>
        <s v="CUST-005"/>
        <s v="CUST-006"/>
        <s v="CUST-007"/>
        <s v="CUST-008"/>
        <s v="CUST-009"/>
        <s v="CUST-010"/>
        <s v="CUST-011"/>
        <s v="CUST-012"/>
        <s v="CUST-013"/>
        <s v="CUST-014"/>
        <s v="CUST-015"/>
        <s v="CUST-016"/>
        <s v="CUST-017"/>
        <s v="CUST-018"/>
        <s v="CUST-019"/>
        <s v="CUST-020"/>
        <s v="CUST-021"/>
        <s v="CUST-022"/>
        <s v="CUST-023"/>
        <s v="CUST-024"/>
        <s v="CUST-025"/>
        <s v="CUST-026"/>
        <s v="CUST-027"/>
        <s v="CUST-028"/>
        <s v="CUST-029"/>
        <s v="CUST-030"/>
        <s v="CUST-031"/>
        <s v="CUST-032"/>
        <s v="CUST-033"/>
        <s v="CUST-034"/>
        <s v="CUST-035"/>
        <s v="CUST-036"/>
        <s v="CUST-037"/>
        <s v="CUST-038"/>
        <s v="CUST-039"/>
        <s v="CUST-040"/>
        <s v="CUST-041"/>
        <s v="CUST-042"/>
        <s v="CUST-043"/>
        <s v="CUST-044"/>
        <s v="CUST-045"/>
        <s v="CUST-046"/>
        <s v="CUST-047"/>
        <s v="CUST-048"/>
        <s v="CUST-049"/>
        <s v="CUST-050"/>
        <s v="CUST-051"/>
        <s v="CUST-052"/>
        <s v="CUST-053"/>
        <s v="CUST-054"/>
        <s v="CUST-055"/>
        <s v="CUST-056"/>
        <s v="CUST-057"/>
        <s v="CUST-058"/>
        <s v="CUST-059"/>
        <s v="CUST-060"/>
        <s v="CUST-061"/>
        <s v="CUST-062"/>
        <s v="CUST-063"/>
        <s v="CUST-064"/>
        <s v="CUST-065"/>
        <s v="CUST-066"/>
        <s v="CUST-067"/>
        <s v="CUST-068"/>
        <s v="CUST-069"/>
        <s v="CUST-070"/>
        <s v="CUST-071"/>
        <s v="CUST-072"/>
        <s v="CUST-073"/>
        <s v="CUST-074"/>
        <s v="CUST-075"/>
        <s v="CUST-076"/>
        <s v="CUST-077"/>
        <s v="CUST-078"/>
        <s v="CUST-079"/>
        <s v="CUST-080"/>
        <s v="CUST-081"/>
        <s v="CUST-082"/>
        <s v="CUST-083"/>
        <s v="CUST-084"/>
        <s v="CUST-085"/>
        <s v="CUST-086"/>
        <s v="CUST-087"/>
        <s v="CUST-088"/>
        <s v="CUST-089"/>
        <s v="CUST-090"/>
        <s v="CUST-091"/>
        <s v="CUST-092"/>
        <s v="CUST-093"/>
        <s v="CUST-094"/>
        <s v="CUST-095"/>
        <s v="CUST-096"/>
        <s v="CUST-097"/>
        <s v="CUST-098"/>
        <s v="CUST-099"/>
        <s v="CUST-100"/>
      </sharedItems>
    </cacheField>
    <cacheField name="Customer Name" numFmtId="0">
      <sharedItems>
        <s v="Customer 001"/>
        <s v="Customer 002"/>
        <s v="Customer 003"/>
        <s v="Customer 004"/>
        <s v="Customer 005"/>
        <s v="Customer 006"/>
        <s v="Customer 007"/>
        <s v="Customer 008"/>
        <s v="Customer 009"/>
        <s v="Customer 010"/>
        <s v="Customer 011"/>
        <s v="Customer 012"/>
        <s v="Customer 013"/>
        <s v="Customer 014"/>
        <s v="Customer 015"/>
        <s v="Customer 016"/>
        <s v="Customer 017"/>
        <s v="Customer 018"/>
        <s v="Customer 019"/>
        <s v="Customer 020"/>
        <s v="Customer 021"/>
        <s v="Customer 022"/>
        <s v="Customer 023"/>
        <s v="Customer 024"/>
        <s v="Customer 025"/>
        <s v="Customer 026"/>
        <s v="Customer 027"/>
        <s v="Customer 028"/>
        <s v="Customer 029"/>
        <s v="Customer 030"/>
        <s v="Customer 031"/>
        <s v="Customer 032"/>
        <s v="Customer 033"/>
        <s v="Customer 034"/>
        <s v="Customer 035"/>
        <s v="Customer 036"/>
        <s v="Customer 037"/>
        <s v="Customer 038"/>
        <s v="Customer 039"/>
        <s v="Customer 040"/>
        <s v="Customer 041"/>
        <s v="Customer 042"/>
        <s v="Customer 043"/>
        <s v="Customer 044"/>
        <s v="Customer 045"/>
        <s v="Customer 046"/>
        <s v="Customer 047"/>
        <s v="Customer 048"/>
        <s v="Customer 049"/>
        <s v="Customer 050"/>
        <s v="Customer 051"/>
        <s v="Customer 052"/>
        <s v="Customer 053"/>
        <s v="Customer 054"/>
        <s v="Customer 055"/>
        <s v="Customer 056"/>
        <s v="Customer 057"/>
        <s v="Customer 058"/>
        <s v="Customer 059"/>
        <s v="Customer 060"/>
        <s v="Customer 061"/>
        <s v="Customer 062"/>
        <s v="Customer 063"/>
        <s v="Customer 064"/>
        <s v="Customer 065"/>
        <s v="Customer 066"/>
        <s v="Customer 067"/>
        <s v="Customer 068"/>
        <s v="Customer 069"/>
        <s v="Customer 070"/>
        <s v="Customer 071"/>
        <s v="Customer 072"/>
        <s v="Customer 073"/>
        <s v="Customer 074"/>
        <s v="Customer 075"/>
        <s v="Customer 076"/>
        <s v="Customer 077"/>
        <s v="Customer 078"/>
        <s v="Customer 079"/>
        <s v="Customer 080"/>
        <s v="Customer 081"/>
        <s v="Customer 082"/>
        <s v="Customer 083"/>
        <s v="Customer 084"/>
        <s v="Customer 085"/>
        <s v="Customer 086"/>
        <s v="Customer 087"/>
        <s v="Customer 088"/>
        <s v="Customer 089"/>
        <s v="Customer 090"/>
        <s v="Customer 091"/>
        <s v="Customer 092"/>
        <s v="Customer 093"/>
        <s v="Customer 094"/>
        <s v="Customer 095"/>
        <s v="Customer 096"/>
        <s v="Customer 097"/>
        <s v="Customer 098"/>
        <s v="Customer 099"/>
        <s v="Customer 100"/>
      </sharedItems>
    </cacheField>
    <cacheField name="Email" numFmtId="0">
      <sharedItems>
        <s v="customerCUST-001@gmail.com"/>
        <s v="customerCUST-002@gmail.com"/>
        <s v="customerCUST-003@gmail.com"/>
        <s v="customerCUST-004@gmail.com"/>
        <s v="customerCUST-005@gmail.com"/>
        <s v="customerCUST-006@gmail.com"/>
        <s v="customerCUST-007@gmail.com"/>
        <s v="customerCUST-008@gmail.com"/>
        <s v="customerCUST-009@gmail.com"/>
        <s v="customerCUST-010@gmail.com"/>
        <s v="customerCUST-011@gmail.com"/>
        <s v="customerCUST-012@gmail.com"/>
        <s v="customerCUST-013@gmail.com"/>
        <s v="customerCUST-014@gmail.com"/>
        <s v="customerCUST-015@gmail.com"/>
        <s v="customerCUST-016@gmail.com"/>
        <s v="customerCUST-017@gmail.com"/>
        <s v="customerCUST-018@gmail.com"/>
        <s v="customerCUST-019@gmail.com"/>
        <s v="customerCUST-020@gmail.com"/>
        <s v="customerCUST-021@gmail.com"/>
        <s v="customerCUST-022@gmail.com"/>
        <s v="customerCUST-023@gmail.com"/>
        <s v="customerCUST-024@gmail.com"/>
        <s v="customerCUST-025@gmail.com"/>
        <s v="customerCUST-026@gmail.com"/>
        <s v="customerCUST-027@gmail.com"/>
        <s v="customerCUST-028@gmail.com"/>
        <s v="customerCUST-029@gmail.com"/>
        <s v="customerCUST-030@gmail.com"/>
        <s v="customerCUST-031@gmail.com"/>
        <s v="customerCUST-032@gmail.com"/>
        <s v="customerCUST-033@gmail.com"/>
        <s v="customerCUST-034@gmail.com"/>
        <s v="customerCUST-035@gmail.com"/>
        <s v="customerCUST-036@gmail.com"/>
        <s v="customerCUST-037@gmail.com"/>
        <s v="customerCUST-038@gmail.com"/>
        <s v="customerCUST-039@gmail.com"/>
        <s v="customerCUST-040@gmail.com"/>
        <s v="customerCUST-041@gmail.com"/>
        <s v="customerCUST-042@gmail.com"/>
        <s v="customerCUST-043@gmail.com"/>
        <s v="customerCUST-044@gmail.com"/>
        <s v="customerCUST-045@gmail.com"/>
        <s v="customerCUST-046@gmail.com"/>
        <s v="customerCUST-047@gmail.com"/>
        <s v="customerCUST-048@gmail.com"/>
        <s v="customerCUST-049@gmail.com"/>
        <s v="customerCUST-050@gmail.com"/>
        <s v="customerCUST-051@gmail.com"/>
        <s v="customerCUST-052@gmail.com"/>
        <s v="customerCUST-053@gmail.com"/>
        <s v="customerCUST-054@gmail.com"/>
        <s v="customerCUST-055@gmail.com"/>
        <s v="customerCUST-056@gmail.com"/>
        <s v="customerCUST-057@gmail.com"/>
        <s v="customerCUST-058@gmail.com"/>
        <s v="customerCUST-059@gmail.com"/>
        <s v="customerCUST-060@gmail.com"/>
        <s v="customerCUST-061@gmail.com"/>
        <s v="customerCUST-062@gmail.com"/>
        <s v="customerCUST-063@gmail.com"/>
        <s v="customerCUST-064@gmail.com"/>
        <s v="customerCUST-065@gmail.com"/>
        <s v="customerCUST-066@gmail.com"/>
        <s v="customerCUST-067@gmail.com"/>
        <s v="customerCUST-068@gmail.com"/>
        <s v="customerCUST-069@gmail.com"/>
        <s v="customerCUST-070@gmail.com"/>
        <s v="customerCUST-071@gmail.com"/>
        <s v="customerCUST-072@gmail.com"/>
        <s v="customerCUST-073@gmail.com"/>
        <s v="customerCUST-074@gmail.com"/>
        <s v="customerCUST-075@gmail.com"/>
        <s v="customerCUST-076@gmail.com"/>
        <s v="customerCUST-077@gmail.com"/>
        <s v="customerCUST-078@gmail.com"/>
        <s v="customerCUST-079@gmail.com"/>
        <s v="customerCUST-080@gmail.com"/>
        <s v="customerCUST-081@gmail.com"/>
        <s v="customerCUST-082@gmail.com"/>
        <s v="customerCUST-083@gmail.com"/>
        <s v="customerCUST-084@gmail.com"/>
        <s v="customerCUST-085@gmail.com"/>
        <s v="customerCUST-086@gmail.com"/>
        <s v="customerCUST-087@gmail.com"/>
        <s v="customerCUST-088@gmail.com"/>
        <s v="customerCUST-089@gmail.com"/>
        <s v="customerCUST-090@gmail.com"/>
        <s v="customerCUST-091@gmail.com"/>
        <s v="customerCUST-092@gmail.com"/>
        <s v="customerCUST-093@gmail.com"/>
        <s v="customerCUST-094@gmail.com"/>
        <s v="customerCUST-095@gmail.com"/>
        <s v="customerCUST-096@gmail.com"/>
        <s v="customerCUST-097@gmail.com"/>
        <s v="customerCUST-098@gmail.com"/>
        <s v="customerCUST-099@gmail.com"/>
        <s v="customerCUST-100@gmail.com"/>
      </sharedItems>
    </cacheField>
    <cacheField name="Phone" numFmtId="0">
      <sharedItems>
        <s v="9874240836"/>
        <s v="9851284215"/>
        <s v="9847705903"/>
        <s v="9838508641"/>
        <s v="9857108073"/>
        <s v="9876125976"/>
        <s v="9842762271"/>
        <s v="9823789098"/>
        <s v="9830874261"/>
        <s v="9896395560"/>
        <s v="9837461299"/>
        <s v="9876352915"/>
        <s v="9867127024"/>
        <s v="9897071520"/>
        <s v="9845285905"/>
        <s v="9839228492"/>
        <s v="9872659819"/>
        <s v="9856945077"/>
        <s v="9891246106"/>
        <s v="9845132178"/>
        <s v="9870594086"/>
        <s v="9863574440"/>
        <s v="9864518113"/>
        <s v="9814062919"/>
        <s v="9879493574"/>
        <s v="9877301912"/>
        <s v="9853382996"/>
        <s v="9889190178"/>
        <s v="9874058743"/>
        <s v="9826224925"/>
        <s v="9842444442"/>
        <s v="9826544481"/>
        <s v="9829788047"/>
        <s v="9822889176"/>
        <s v="9889185223"/>
        <s v="9892428109"/>
        <s v="9881854202"/>
        <s v="9843911408"/>
        <s v="9828064641"/>
        <s v="9867434185"/>
        <s v="9815367366"/>
        <s v="9825741387"/>
        <s v="9815564177"/>
        <s v="9887495634"/>
        <s v="9860183511"/>
        <s v="9853337065"/>
        <s v="9818856242"/>
        <s v="9890481111"/>
        <s v="9838465066"/>
        <s v="9823653847"/>
        <s v="9884100965"/>
        <s v="9841513299"/>
        <s v="9827312250"/>
        <s v="9822538391"/>
        <s v="9837768549"/>
        <s v="9891405619"/>
        <s v="9881957366"/>
        <s v="9891869238"/>
        <s v="9845839774"/>
        <s v="9880396598"/>
        <s v="9897250597"/>
        <s v="9883601148"/>
        <s v="9831254847"/>
        <s v="9873706885"/>
        <s v="9866464742"/>
        <s v="9858746775"/>
        <s v="9899560850"/>
        <s v="9876352061"/>
        <s v="9856807599"/>
        <s v="9892269038"/>
        <s v="9896350609"/>
        <s v="9852115110"/>
        <s v="9850454578"/>
        <s v="9869359199"/>
        <s v="9857790913"/>
        <s v="9865615648"/>
        <s v="9858400424"/>
        <s v="9864640370"/>
        <s v="9837305555"/>
        <s v="9887008665"/>
        <s v="9861977752"/>
        <s v="9893462955"/>
        <s v="9817308796"/>
        <s v="9816003756"/>
        <s v="9873501465"/>
        <s v="9883648056"/>
        <s v="9864777345"/>
        <s v="9895616544"/>
        <s v="9853171921"/>
        <s v="9886786840"/>
        <s v="9883404151"/>
        <s v="9896347163"/>
        <s v="9894106037"/>
        <s v="9890518245"/>
        <s v="9863094735"/>
        <s v="9818326391"/>
        <s v="9841164369"/>
        <s v="9817084453"/>
        <s v="9849647010"/>
        <s v="9812378231"/>
      </sharedItems>
    </cacheField>
    <cacheField name="Company " numFmtId="0">
      <sharedItems>
        <s v="Global Tech"/>
        <s v="Sky Solutions"/>
        <s v="Himalayan Foods"/>
        <s v="Everest Traders"/>
        <s v="ABC Pvt Ltd"/>
      </sharedItems>
    </cacheField>
    <cacheField name="Country" numFmtId="0">
      <sharedItems>
        <s v="USA"/>
        <s v="Canada"/>
        <s v="Australia"/>
        <s v="Nepal"/>
        <s v="India"/>
      </sharedItems>
    </cacheField>
    <cacheField name="Lead Status" numFmtId="0">
      <sharedItems>
        <s v="Contacted"/>
        <s v="New"/>
        <s v="Won"/>
        <s v="Lost"/>
      </sharedItems>
    </cacheField>
    <cacheField name="Last Contact" numFmtId="14">
      <sharedItems containsSemiMixedTypes="0" containsDate="1" containsString="0">
        <d v="2026-12-21T00:00:00Z"/>
        <d v="2026-10-25T00:00:00Z"/>
        <d v="2026-09-03T00:00:00Z"/>
        <d v="2026-07-27T00:00:00Z"/>
        <d v="2026-08-08T00:00:00Z"/>
        <d v="2026-01-25T00:00:00Z"/>
        <d v="2026-09-06T00:00:00Z"/>
        <d v="2026-11-24T00:00:00Z"/>
        <d v="2026-06-07T00:00:00Z"/>
        <d v="2026-10-10T00:00:00Z"/>
        <d v="2026-05-20T00:00:00Z"/>
        <d v="2026-06-21T00:00:00Z"/>
        <d v="2026-06-24T00:00:00Z"/>
        <d v="2026-12-03T00:00:00Z"/>
        <d v="2026-10-16T00:00:00Z"/>
        <d v="2026-10-11T00:00:00Z"/>
        <d v="2026-10-21T00:00:00Z"/>
        <d v="2026-10-05T00:00:00Z"/>
        <d v="2026-07-05T00:00:00Z"/>
        <d v="2026-05-09T00:00:00Z"/>
        <d v="2026-03-22T00:00:00Z"/>
        <d v="2026-07-25T00:00:00Z"/>
        <d v="2026-06-06T00:00:00Z"/>
        <d v="2026-03-06T00:00:00Z"/>
        <d v="2026-11-26T00:00:00Z"/>
        <d v="2026-10-22T00:00:00Z"/>
        <d v="2026-01-22T00:00:00Z"/>
        <d v="2026-08-27T00:00:00Z"/>
        <d v="2026-11-10T00:00:00Z"/>
        <d v="2026-03-02T00:00:00Z"/>
        <d v="2026-06-14T00:00:00Z"/>
        <d v="2026-05-25T00:00:00Z"/>
        <d v="2026-06-18T00:00:00Z"/>
        <d v="2026-09-05T00:00:00Z"/>
        <d v="2026-10-28T00:00:00Z"/>
        <d v="2026-11-04T00:00:00Z"/>
        <d v="2026-01-09T00:00:00Z"/>
        <d v="2026-12-02T00:00:00Z"/>
        <d v="2026-10-15T00:00:00Z"/>
        <d v="2026-09-19T00:00:00Z"/>
        <d v="2026-08-28T00:00:00Z"/>
        <d v="2026-04-07T00:00:00Z"/>
        <d v="2026-11-03T00:00:00Z"/>
        <d v="2026-12-13T00:00:00Z"/>
        <d v="2026-08-22T00:00:00Z"/>
        <d v="2026-01-12T00:00:00Z"/>
        <d v="2026-07-28T00:00:00Z"/>
        <d v="2026-08-06T00:00:00Z"/>
        <d v="2026-12-16T00:00:00Z"/>
        <d v="2026-08-01T00:00:00Z"/>
        <d v="2026-08-19T00:00:00Z"/>
        <d v="2026-07-10T00:00:00Z"/>
        <d v="2026-02-13T00:00:00Z"/>
        <d v="2026-01-06T00:00:00Z"/>
        <d v="2026-05-06T00:00:00Z"/>
        <d v="2026-10-19T00:00:00Z"/>
        <d v="2026-07-14T00:00:00Z"/>
        <d v="2026-01-17T00:00:00Z"/>
        <d v="2026-04-03T00:00:00Z"/>
        <d v="2026-06-15T00:00:00Z"/>
        <d v="2026-03-07T00:00:00Z"/>
        <d v="2026-11-25T00:00:00Z"/>
        <d v="2026-02-05T00:00:00Z"/>
        <d v="2026-08-03T00:00:00Z"/>
        <d v="2026-03-20T00:00:00Z"/>
        <d v="2026-03-17T00:00:00Z"/>
        <d v="2026-02-27T00:00:00Z"/>
        <d v="2026-04-06T00:00:00Z"/>
        <d v="2026-07-26T00:00:00Z"/>
        <d v="2026-10-06T00:00:00Z"/>
        <d v="2026-05-03T00:00:00Z"/>
        <d v="2026-03-05T00:00:00Z"/>
        <d v="2026-03-23T00:00:00Z"/>
        <d v="2026-07-11T00:00:00Z"/>
        <d v="2026-06-01T00:00:00Z"/>
        <d v="2026-06-03T00:00:00Z"/>
        <d v="2026-11-18T00:00:00Z"/>
        <d v="2026-08-25T00:00:00Z"/>
        <d v="2026-12-05T00:00:00Z"/>
        <d v="2026-11-22T00:00:00Z"/>
        <d v="2026-05-28T00:00:00Z"/>
        <d v="2026-08-09T00:00:00Z"/>
        <d v="2026-01-14T00:00:00Z"/>
        <d v="2026-11-09T00:00:00Z"/>
        <d v="2026-05-02T00:00:00Z"/>
        <d v="2026-09-27T00:00:00Z"/>
        <d v="2026-04-13T00:00:00Z"/>
      </sharedItems>
    </cacheField>
    <cacheField name="Next Follow-up" numFmtId="14">
      <sharedItems containsSemiMixedTypes="0" containsDate="1" containsString="0">
        <d v="2026-12-28T00:00:00Z"/>
        <d v="2026-11-01T00:00:00Z"/>
        <d v="2026-09-10T00:00:00Z"/>
        <d v="2026-08-03T00:00:00Z"/>
        <d v="2026-08-15T00:00:00Z"/>
        <d v="2026-02-01T00:00:00Z"/>
        <d v="2026-09-13T00:00:00Z"/>
        <d v="2026-12-01T00:00:00Z"/>
        <d v="2026-06-14T00:00:00Z"/>
        <d v="2026-10-17T00:00:00Z"/>
        <d v="2026-05-27T00:00:00Z"/>
        <d v="2026-06-28T00:00:00Z"/>
        <d v="2026-07-01T00:00:00Z"/>
        <d v="2026-12-10T00:00:00Z"/>
        <d v="2026-10-23T00:00:00Z"/>
        <d v="2026-10-18T00:00:00Z"/>
        <d v="2026-10-28T00:00:00Z"/>
        <d v="2026-10-12T00:00:00Z"/>
        <d v="2026-07-12T00:00:00Z"/>
        <d v="2026-05-16T00:00:00Z"/>
        <d v="2026-03-29T00:00:00Z"/>
        <d v="2026-08-01T00:00:00Z"/>
        <d v="2026-06-13T00:00:00Z"/>
        <d v="2026-03-13T00:00:00Z"/>
        <d v="2026-12-03T00:00:00Z"/>
        <d v="2026-10-29T00:00:00Z"/>
        <d v="2026-01-29T00:00:00Z"/>
        <d v="2026-09-03T00:00:00Z"/>
        <d v="2026-11-17T00:00:00Z"/>
        <d v="2026-03-09T00:00:00Z"/>
        <d v="2026-06-21T00:00:00Z"/>
        <d v="2026-06-01T00:00:00Z"/>
        <d v="2026-06-25T00:00:00Z"/>
        <d v="2026-09-12T00:00:00Z"/>
        <d v="2026-11-04T00:00:00Z"/>
        <d v="2026-11-11T00:00:00Z"/>
        <d v="2026-01-16T00:00:00Z"/>
        <d v="2026-12-09T00:00:00Z"/>
        <d v="2026-10-22T00:00:00Z"/>
        <d v="2026-09-26T00:00:00Z"/>
        <d v="2026-09-04T00:00:00Z"/>
        <d v="2026-04-14T00:00:00Z"/>
        <d v="2026-11-10T00:00:00Z"/>
        <d v="2026-12-20T00:00:00Z"/>
        <d v="2026-08-29T00:00:00Z"/>
        <d v="2026-01-19T00:00:00Z"/>
        <d v="2026-08-04T00:00:00Z"/>
        <d v="2026-08-13T00:00:00Z"/>
        <d v="2026-12-23T00:00:00Z"/>
        <d v="2026-08-08T00:00:00Z"/>
        <d v="2026-08-26T00:00:00Z"/>
        <d v="2026-07-17T00:00:00Z"/>
        <d v="2026-02-20T00:00:00Z"/>
        <d v="2026-01-13T00:00:00Z"/>
        <d v="2026-05-13T00:00:00Z"/>
        <d v="2026-10-26T00:00:00Z"/>
        <d v="2026-07-21T00:00:00Z"/>
        <d v="2026-01-24T00:00:00Z"/>
        <d v="2026-04-10T00:00:00Z"/>
        <d v="2026-06-22T00:00:00Z"/>
        <d v="2026-03-14T00:00:00Z"/>
        <d v="2026-12-02T00:00:00Z"/>
        <d v="2026-02-12T00:00:00Z"/>
        <d v="2026-08-10T00:00:00Z"/>
        <d v="2026-03-27T00:00:00Z"/>
        <d v="2026-03-24T00:00:00Z"/>
        <d v="2026-03-06T00:00:00Z"/>
        <d v="2026-04-13T00:00:00Z"/>
        <d v="2026-08-02T00:00:00Z"/>
        <d v="2026-10-13T00:00:00Z"/>
        <d v="2026-05-10T00:00:00Z"/>
        <d v="2026-03-12T00:00:00Z"/>
        <d v="2026-03-30T00:00:00Z"/>
        <d v="2026-07-18T00:00:00Z"/>
        <d v="2026-06-08T00:00:00Z"/>
        <d v="2026-06-10T00:00:00Z"/>
        <d v="2026-11-25T00:00:00Z"/>
        <d v="2026-09-01T00:00:00Z"/>
        <d v="2026-12-12T00:00:00Z"/>
        <d v="2026-11-29T00:00:00Z"/>
        <d v="2026-06-04T00:00:00Z"/>
        <d v="2026-08-16T00:00:00Z"/>
        <d v="2026-01-21T00:00:00Z"/>
        <d v="2026-11-16T00:00:00Z"/>
        <d v="2026-05-09T00:00:00Z"/>
        <d v="2026-10-04T00:00:00Z"/>
        <d v="2026-04-20T00:00:00Z"/>
      </sharedItems>
    </cacheField>
    <cacheField name="Assigned To" numFmtId="0">
      <sharedItems>
        <s v="Emma"/>
        <s v="Sarah"/>
        <s v="John"/>
        <s v="David"/>
        <s v="Michae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ustomers by Assigned Employee" cacheId="0" dataCaption="" compact="0" compactData="0">
  <location ref="A1:B7" firstHeaderRow="0" firstDataRow="1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ompany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 Status" compact="0" outline="0" multipleItemSelectionAllowed="1" showAll="0">
      <items>
        <item x="0"/>
        <item x="1"/>
        <item x="2"/>
        <item x="3"/>
        <item t="default"/>
      </items>
    </pivotField>
    <pivotField name="Last Contac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Next Follow-up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Assigned To" axis="axisRow" compact="0" outline="0" multipleItemSelectionAllowed="1" showAll="0" sortType="ascending">
      <items>
        <item x="3"/>
        <item x="0"/>
        <item x="2"/>
        <item x="4"/>
        <item x="1"/>
        <item t="default"/>
      </items>
    </pivotField>
  </pivotFields>
  <rowFields>
    <field x="9"/>
  </rowFields>
  <dataFields>
    <dataField name="COUNTA of Customer ID" fld="0" subtotal="count" baseField="0"/>
  </dataFields>
</pivotTableDefinition>
</file>

<file path=xl/pivotTables/pivotTable2.xml><?xml version="1.0" encoding="utf-8"?>
<pivotTableDefinition xmlns="http://schemas.openxmlformats.org/spreadsheetml/2006/main" name="Customers by Company" cacheId="0" dataCaption="" compact="0" compactData="0">
  <location ref="A1:B7" firstHeaderRow="0" firstDataRow="1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ompany " axis="axisRow" compact="0" outline="0" multipleItemSelectionAllowed="1" showAll="0" sortType="ascending">
      <items>
        <item x="4"/>
        <item x="3"/>
        <item x="0"/>
        <item x="2"/>
        <item x="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 Status" compact="0" outline="0" multipleItemSelectionAllowed="1" showAll="0">
      <items>
        <item x="0"/>
        <item x="1"/>
        <item x="2"/>
        <item x="3"/>
        <item t="default"/>
      </items>
    </pivotField>
    <pivotField name="Last Contac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Next Follow-up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Assigned To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</rowFields>
  <dataFields>
    <dataField name="COUNTA of Customer ID" fld="0" subtotal="count" baseField="0"/>
  </dataFields>
</pivotTableDefinition>
</file>

<file path=xl/pivotTables/pivotTable3.xml><?xml version="1.0" encoding="utf-8"?>
<pivotTableDefinition xmlns="http://schemas.openxmlformats.org/spreadsheetml/2006/main" name="Customers by Country" cacheId="0" dataCaption="" compact="0" compactData="0">
  <location ref="A1:B7" firstHeaderRow="0" firstDataRow="1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ompany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axis="axisRow" compact="0" outline="0" multipleItemSelectionAllowed="1" showAll="0" sortType="ascending">
      <items>
        <item x="2"/>
        <item x="1"/>
        <item x="4"/>
        <item x="3"/>
        <item x="0"/>
        <item t="default"/>
      </items>
    </pivotField>
    <pivotField name="Lead Status" compact="0" outline="0" multipleItemSelectionAllowed="1" showAll="0">
      <items>
        <item x="0"/>
        <item x="1"/>
        <item x="2"/>
        <item x="3"/>
        <item t="default"/>
      </items>
    </pivotField>
    <pivotField name="Last Contac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Next Follow-up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Assigned To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5"/>
  </rowFields>
  <dataFields>
    <dataField name="COUNTA of Customer ID" fld="0" subtotal="count" baseField="0"/>
  </dataFields>
</pivotTableDefinition>
</file>

<file path=xl/pivotTables/pivotTable4.xml><?xml version="1.0" encoding="utf-8"?>
<pivotTableDefinition xmlns="http://schemas.openxmlformats.org/spreadsheetml/2006/main" name="Customers by Lead Status" cacheId="0" dataCaption="" compact="0" compactData="0">
  <location ref="A1:B6" firstHeaderRow="0" firstDataRow="1" firstDataCol="0"/>
  <pivotFields>
    <pivotField name="Custom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ompany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 Status" axis="axisRow" compact="0" outline="0" multipleItemSelectionAllowed="1" showAll="0" sortType="ascending">
      <items>
        <item x="0"/>
        <item x="3"/>
        <item x="1"/>
        <item x="2"/>
        <item t="default"/>
      </items>
    </pivotField>
    <pivotField name="Last Contac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Next Follow-up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Assigned To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6"/>
  </rowFields>
  <dataFields>
    <dataField name="COUNTA of Customer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5" max="5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tr">
        <f t="shared" ref="A2:A101" si="1">"CUST-"&amp;TEXT(ROW()-1,"000")</f>
        <v>CUST-001</v>
      </c>
      <c r="B2" s="2" t="str">
        <f t="shared" ref="B2:B101" si="2">"Customer "&amp;TEXT(ROW()-1,"000")</f>
        <v>Customer 001</v>
      </c>
      <c r="C2" s="2" t="str">
        <f t="shared" ref="C2:C101" si="3">"customer"&amp;A2&amp;"@gmail.com"</f>
        <v>customerCUST-001@gmail.com</v>
      </c>
      <c r="D2" s="2" t="str">
        <f t="shared" ref="D2:D101" si="4">"98"&amp;RANDBETWEEN(10000000,99999999)</f>
        <v>9874240836</v>
      </c>
      <c r="E2" s="2" t="str">
        <f t="shared" ref="E2:E101" si="5">CHOOSE(RANDBETWEEN(1,5),"ABC Pvt Ltd","Global Tech","Everest Traders","Himalayan Foods","Sky Solutions")</f>
        <v>Global Tech</v>
      </c>
      <c r="F2" s="2" t="str">
        <f t="shared" ref="F2:F101" si="6">CHOOSE(RANDBETWEEN(1,5),"Nepal","India","USA","Australia","Canada")</f>
        <v>USA</v>
      </c>
      <c r="G2" s="2" t="str">
        <f t="shared" ref="G2:G101" si="7">CHOOSE(RANDBETWEEN(1,4),"New","Contacted","Won","Lost")</f>
        <v>Contacted</v>
      </c>
      <c r="H2" s="3">
        <f t="shared" ref="H2:H101" si="8">DATE(2026,RANDBETWEEN(1,12),RANDBETWEEN(1,28))</f>
        <v>46377</v>
      </c>
      <c r="I2" s="3">
        <f t="shared" ref="I2:I101" si="9">H2+7</f>
        <v>46384</v>
      </c>
      <c r="J2" s="2" t="str">
        <f t="shared" ref="J2:J101" si="10">CHOOSE(RANDBETWEEN(1,5),"John","Sarah","Michael","Emma","David")</f>
        <v>Emma</v>
      </c>
    </row>
    <row r="3">
      <c r="A3" s="2" t="str">
        <f t="shared" si="1"/>
        <v>CUST-002</v>
      </c>
      <c r="B3" s="2" t="str">
        <f t="shared" si="2"/>
        <v>Customer 002</v>
      </c>
      <c r="C3" s="2" t="str">
        <f t="shared" si="3"/>
        <v>customerCUST-002@gmail.com</v>
      </c>
      <c r="D3" s="2" t="str">
        <f t="shared" si="4"/>
        <v>9851284215</v>
      </c>
      <c r="E3" s="2" t="str">
        <f t="shared" si="5"/>
        <v>Sky Solutions</v>
      </c>
      <c r="F3" s="2" t="str">
        <f t="shared" si="6"/>
        <v>Canada</v>
      </c>
      <c r="G3" s="2" t="str">
        <f t="shared" si="7"/>
        <v>Contacted</v>
      </c>
      <c r="H3" s="3">
        <f t="shared" si="8"/>
        <v>46320</v>
      </c>
      <c r="I3" s="3">
        <f t="shared" si="9"/>
        <v>46327</v>
      </c>
      <c r="J3" s="2" t="str">
        <f t="shared" si="10"/>
        <v>Sarah</v>
      </c>
    </row>
    <row r="4">
      <c r="A4" s="2" t="str">
        <f t="shared" si="1"/>
        <v>CUST-003</v>
      </c>
      <c r="B4" s="2" t="str">
        <f t="shared" si="2"/>
        <v>Customer 003</v>
      </c>
      <c r="C4" s="2" t="str">
        <f t="shared" si="3"/>
        <v>customerCUST-003@gmail.com</v>
      </c>
      <c r="D4" s="2" t="str">
        <f t="shared" si="4"/>
        <v>9847705903</v>
      </c>
      <c r="E4" s="2" t="str">
        <f t="shared" si="5"/>
        <v>Sky Solutions</v>
      </c>
      <c r="F4" s="2" t="str">
        <f t="shared" si="6"/>
        <v>Australia</v>
      </c>
      <c r="G4" s="2" t="str">
        <f t="shared" si="7"/>
        <v>New</v>
      </c>
      <c r="H4" s="3">
        <f t="shared" si="8"/>
        <v>46268</v>
      </c>
      <c r="I4" s="3">
        <f t="shared" si="9"/>
        <v>46275</v>
      </c>
      <c r="J4" s="2" t="str">
        <f t="shared" si="10"/>
        <v>John</v>
      </c>
    </row>
    <row r="5">
      <c r="A5" s="2" t="str">
        <f t="shared" si="1"/>
        <v>CUST-004</v>
      </c>
      <c r="B5" s="2" t="str">
        <f t="shared" si="2"/>
        <v>Customer 004</v>
      </c>
      <c r="C5" s="2" t="str">
        <f t="shared" si="3"/>
        <v>customerCUST-004@gmail.com</v>
      </c>
      <c r="D5" s="2" t="str">
        <f t="shared" si="4"/>
        <v>9838508641</v>
      </c>
      <c r="E5" s="2" t="str">
        <f t="shared" si="5"/>
        <v>Global Tech</v>
      </c>
      <c r="F5" s="2" t="str">
        <f t="shared" si="6"/>
        <v>USA</v>
      </c>
      <c r="G5" s="2" t="str">
        <f t="shared" si="7"/>
        <v>Contacted</v>
      </c>
      <c r="H5" s="3">
        <f t="shared" si="8"/>
        <v>46230</v>
      </c>
      <c r="I5" s="3">
        <f t="shared" si="9"/>
        <v>46237</v>
      </c>
      <c r="J5" s="2" t="str">
        <f t="shared" si="10"/>
        <v>Sarah</v>
      </c>
    </row>
    <row r="6">
      <c r="A6" s="2" t="str">
        <f t="shared" si="1"/>
        <v>CUST-005</v>
      </c>
      <c r="B6" s="2" t="str">
        <f t="shared" si="2"/>
        <v>Customer 005</v>
      </c>
      <c r="C6" s="2" t="str">
        <f t="shared" si="3"/>
        <v>customerCUST-005@gmail.com</v>
      </c>
      <c r="D6" s="2" t="str">
        <f t="shared" si="4"/>
        <v>9857108073</v>
      </c>
      <c r="E6" s="2" t="str">
        <f t="shared" si="5"/>
        <v>Himalayan Foods</v>
      </c>
      <c r="F6" s="2" t="str">
        <f t="shared" si="6"/>
        <v>Nepal</v>
      </c>
      <c r="G6" s="2" t="str">
        <f t="shared" si="7"/>
        <v>Contacted</v>
      </c>
      <c r="H6" s="3">
        <f t="shared" si="8"/>
        <v>46242</v>
      </c>
      <c r="I6" s="3">
        <f t="shared" si="9"/>
        <v>46249</v>
      </c>
      <c r="J6" s="2" t="str">
        <f t="shared" si="10"/>
        <v>David</v>
      </c>
    </row>
    <row r="7">
      <c r="A7" s="2" t="str">
        <f t="shared" si="1"/>
        <v>CUST-006</v>
      </c>
      <c r="B7" s="2" t="str">
        <f t="shared" si="2"/>
        <v>Customer 006</v>
      </c>
      <c r="C7" s="2" t="str">
        <f t="shared" si="3"/>
        <v>customerCUST-006@gmail.com</v>
      </c>
      <c r="D7" s="2" t="str">
        <f t="shared" si="4"/>
        <v>9876125976</v>
      </c>
      <c r="E7" s="2" t="str">
        <f t="shared" si="5"/>
        <v>Himalayan Foods</v>
      </c>
      <c r="F7" s="2" t="str">
        <f t="shared" si="6"/>
        <v>USA</v>
      </c>
      <c r="G7" s="2" t="str">
        <f t="shared" si="7"/>
        <v>Won</v>
      </c>
      <c r="H7" s="3">
        <f t="shared" si="8"/>
        <v>46047</v>
      </c>
      <c r="I7" s="3">
        <f t="shared" si="9"/>
        <v>46054</v>
      </c>
      <c r="J7" s="2" t="str">
        <f t="shared" si="10"/>
        <v>Sarah</v>
      </c>
    </row>
    <row r="8">
      <c r="A8" s="2" t="str">
        <f t="shared" si="1"/>
        <v>CUST-007</v>
      </c>
      <c r="B8" s="2" t="str">
        <f t="shared" si="2"/>
        <v>Customer 007</v>
      </c>
      <c r="C8" s="2" t="str">
        <f t="shared" si="3"/>
        <v>customerCUST-007@gmail.com</v>
      </c>
      <c r="D8" s="2" t="str">
        <f t="shared" si="4"/>
        <v>9842762271</v>
      </c>
      <c r="E8" s="2" t="str">
        <f t="shared" si="5"/>
        <v>Everest Traders</v>
      </c>
      <c r="F8" s="2" t="str">
        <f t="shared" si="6"/>
        <v>Australia</v>
      </c>
      <c r="G8" s="2" t="str">
        <f t="shared" si="7"/>
        <v>Won</v>
      </c>
      <c r="H8" s="3">
        <f t="shared" si="8"/>
        <v>46271</v>
      </c>
      <c r="I8" s="3">
        <f t="shared" si="9"/>
        <v>46278</v>
      </c>
      <c r="J8" s="2" t="str">
        <f t="shared" si="10"/>
        <v>Michael</v>
      </c>
    </row>
    <row r="9">
      <c r="A9" s="2" t="str">
        <f t="shared" si="1"/>
        <v>CUST-008</v>
      </c>
      <c r="B9" s="2" t="str">
        <f t="shared" si="2"/>
        <v>Customer 008</v>
      </c>
      <c r="C9" s="2" t="str">
        <f t="shared" si="3"/>
        <v>customerCUST-008@gmail.com</v>
      </c>
      <c r="D9" s="2" t="str">
        <f t="shared" si="4"/>
        <v>9823789098</v>
      </c>
      <c r="E9" s="2" t="str">
        <f t="shared" si="5"/>
        <v>Everest Traders</v>
      </c>
      <c r="F9" s="2" t="str">
        <f t="shared" si="6"/>
        <v>USA</v>
      </c>
      <c r="G9" s="2" t="str">
        <f t="shared" si="7"/>
        <v>Contacted</v>
      </c>
      <c r="H9" s="3">
        <f t="shared" si="8"/>
        <v>46350</v>
      </c>
      <c r="I9" s="3">
        <f t="shared" si="9"/>
        <v>46357</v>
      </c>
      <c r="J9" s="2" t="str">
        <f t="shared" si="10"/>
        <v>John</v>
      </c>
    </row>
    <row r="10">
      <c r="A10" s="2" t="str">
        <f t="shared" si="1"/>
        <v>CUST-009</v>
      </c>
      <c r="B10" s="2" t="str">
        <f t="shared" si="2"/>
        <v>Customer 009</v>
      </c>
      <c r="C10" s="2" t="str">
        <f t="shared" si="3"/>
        <v>customerCUST-009@gmail.com</v>
      </c>
      <c r="D10" s="2" t="str">
        <f t="shared" si="4"/>
        <v>9830874261</v>
      </c>
      <c r="E10" s="2" t="str">
        <f t="shared" si="5"/>
        <v>Sky Solutions</v>
      </c>
      <c r="F10" s="2" t="str">
        <f t="shared" si="6"/>
        <v>Australia</v>
      </c>
      <c r="G10" s="2" t="str">
        <f t="shared" si="7"/>
        <v>Lost</v>
      </c>
      <c r="H10" s="3">
        <f t="shared" si="8"/>
        <v>46180</v>
      </c>
      <c r="I10" s="3">
        <f t="shared" si="9"/>
        <v>46187</v>
      </c>
      <c r="J10" s="2" t="str">
        <f t="shared" si="10"/>
        <v>Michael</v>
      </c>
    </row>
    <row r="11">
      <c r="A11" s="2" t="str">
        <f t="shared" si="1"/>
        <v>CUST-010</v>
      </c>
      <c r="B11" s="2" t="str">
        <f t="shared" si="2"/>
        <v>Customer 010</v>
      </c>
      <c r="C11" s="2" t="str">
        <f t="shared" si="3"/>
        <v>customerCUST-010@gmail.com</v>
      </c>
      <c r="D11" s="2" t="str">
        <f t="shared" si="4"/>
        <v>9896395560</v>
      </c>
      <c r="E11" s="2" t="str">
        <f t="shared" si="5"/>
        <v>Everest Traders</v>
      </c>
      <c r="F11" s="2" t="str">
        <f t="shared" si="6"/>
        <v>Nepal</v>
      </c>
      <c r="G11" s="2" t="str">
        <f t="shared" si="7"/>
        <v>Won</v>
      </c>
      <c r="H11" s="3">
        <f t="shared" si="8"/>
        <v>46305</v>
      </c>
      <c r="I11" s="3">
        <f t="shared" si="9"/>
        <v>46312</v>
      </c>
      <c r="J11" s="2" t="str">
        <f t="shared" si="10"/>
        <v>John</v>
      </c>
    </row>
    <row r="12">
      <c r="A12" s="2" t="str">
        <f t="shared" si="1"/>
        <v>CUST-011</v>
      </c>
      <c r="B12" s="2" t="str">
        <f t="shared" si="2"/>
        <v>Customer 011</v>
      </c>
      <c r="C12" s="2" t="str">
        <f t="shared" si="3"/>
        <v>customerCUST-011@gmail.com</v>
      </c>
      <c r="D12" s="2" t="str">
        <f t="shared" si="4"/>
        <v>9837461299</v>
      </c>
      <c r="E12" s="2" t="str">
        <f t="shared" si="5"/>
        <v>Everest Traders</v>
      </c>
      <c r="F12" s="2" t="str">
        <f t="shared" si="6"/>
        <v>Australia</v>
      </c>
      <c r="G12" s="2" t="str">
        <f t="shared" si="7"/>
        <v>Won</v>
      </c>
      <c r="H12" s="3">
        <f t="shared" si="8"/>
        <v>46162</v>
      </c>
      <c r="I12" s="3">
        <f t="shared" si="9"/>
        <v>46169</v>
      </c>
      <c r="J12" s="2" t="str">
        <f t="shared" si="10"/>
        <v>John</v>
      </c>
    </row>
    <row r="13">
      <c r="A13" s="2" t="str">
        <f t="shared" si="1"/>
        <v>CUST-012</v>
      </c>
      <c r="B13" s="2" t="str">
        <f t="shared" si="2"/>
        <v>Customer 012</v>
      </c>
      <c r="C13" s="2" t="str">
        <f t="shared" si="3"/>
        <v>customerCUST-012@gmail.com</v>
      </c>
      <c r="D13" s="2" t="str">
        <f t="shared" si="4"/>
        <v>9876352915</v>
      </c>
      <c r="E13" s="2" t="str">
        <f t="shared" si="5"/>
        <v>Everest Traders</v>
      </c>
      <c r="F13" s="2" t="str">
        <f t="shared" si="6"/>
        <v>Nepal</v>
      </c>
      <c r="G13" s="2" t="str">
        <f t="shared" si="7"/>
        <v>Won</v>
      </c>
      <c r="H13" s="3">
        <f t="shared" si="8"/>
        <v>46194</v>
      </c>
      <c r="I13" s="3">
        <f t="shared" si="9"/>
        <v>46201</v>
      </c>
      <c r="J13" s="2" t="str">
        <f t="shared" si="10"/>
        <v>Emma</v>
      </c>
    </row>
    <row r="14">
      <c r="A14" s="2" t="str">
        <f t="shared" si="1"/>
        <v>CUST-013</v>
      </c>
      <c r="B14" s="2" t="str">
        <f t="shared" si="2"/>
        <v>Customer 013</v>
      </c>
      <c r="C14" s="2" t="str">
        <f t="shared" si="3"/>
        <v>customerCUST-013@gmail.com</v>
      </c>
      <c r="D14" s="2" t="str">
        <f t="shared" si="4"/>
        <v>9867127024</v>
      </c>
      <c r="E14" s="2" t="str">
        <f t="shared" si="5"/>
        <v>ABC Pvt Ltd</v>
      </c>
      <c r="F14" s="2" t="str">
        <f t="shared" si="6"/>
        <v>India</v>
      </c>
      <c r="G14" s="2" t="str">
        <f t="shared" si="7"/>
        <v>Won</v>
      </c>
      <c r="H14" s="3">
        <f t="shared" si="8"/>
        <v>46197</v>
      </c>
      <c r="I14" s="3">
        <f t="shared" si="9"/>
        <v>46204</v>
      </c>
      <c r="J14" s="2" t="str">
        <f t="shared" si="10"/>
        <v>Sarah</v>
      </c>
    </row>
    <row r="15">
      <c r="A15" s="2" t="str">
        <f t="shared" si="1"/>
        <v>CUST-014</v>
      </c>
      <c r="B15" s="2" t="str">
        <f t="shared" si="2"/>
        <v>Customer 014</v>
      </c>
      <c r="C15" s="2" t="str">
        <f t="shared" si="3"/>
        <v>customerCUST-014@gmail.com</v>
      </c>
      <c r="D15" s="2" t="str">
        <f t="shared" si="4"/>
        <v>9897071520</v>
      </c>
      <c r="E15" s="2" t="str">
        <f t="shared" si="5"/>
        <v>ABC Pvt Ltd</v>
      </c>
      <c r="F15" s="2" t="str">
        <f t="shared" si="6"/>
        <v>Nepal</v>
      </c>
      <c r="G15" s="2" t="str">
        <f t="shared" si="7"/>
        <v>Lost</v>
      </c>
      <c r="H15" s="3">
        <f t="shared" si="8"/>
        <v>46359</v>
      </c>
      <c r="I15" s="3">
        <f t="shared" si="9"/>
        <v>46366</v>
      </c>
      <c r="J15" s="2" t="str">
        <f t="shared" si="10"/>
        <v>Sarah</v>
      </c>
    </row>
    <row r="16">
      <c r="A16" s="2" t="str">
        <f t="shared" si="1"/>
        <v>CUST-015</v>
      </c>
      <c r="B16" s="2" t="str">
        <f t="shared" si="2"/>
        <v>Customer 015</v>
      </c>
      <c r="C16" s="2" t="str">
        <f t="shared" si="3"/>
        <v>customerCUST-015@gmail.com</v>
      </c>
      <c r="D16" s="2" t="str">
        <f t="shared" si="4"/>
        <v>9845285905</v>
      </c>
      <c r="E16" s="2" t="str">
        <f t="shared" si="5"/>
        <v>Everest Traders</v>
      </c>
      <c r="F16" s="2" t="str">
        <f t="shared" si="6"/>
        <v>USA</v>
      </c>
      <c r="G16" s="2" t="str">
        <f t="shared" si="7"/>
        <v>Contacted</v>
      </c>
      <c r="H16" s="3">
        <f t="shared" si="8"/>
        <v>46311</v>
      </c>
      <c r="I16" s="3">
        <f t="shared" si="9"/>
        <v>46318</v>
      </c>
      <c r="J16" s="2" t="str">
        <f t="shared" si="10"/>
        <v>David</v>
      </c>
    </row>
    <row r="17">
      <c r="A17" s="2" t="str">
        <f t="shared" si="1"/>
        <v>CUST-016</v>
      </c>
      <c r="B17" s="2" t="str">
        <f t="shared" si="2"/>
        <v>Customer 016</v>
      </c>
      <c r="C17" s="2" t="str">
        <f t="shared" si="3"/>
        <v>customerCUST-016@gmail.com</v>
      </c>
      <c r="D17" s="2" t="str">
        <f t="shared" si="4"/>
        <v>9839228492</v>
      </c>
      <c r="E17" s="2" t="str">
        <f t="shared" si="5"/>
        <v>Himalayan Foods</v>
      </c>
      <c r="F17" s="2" t="str">
        <f t="shared" si="6"/>
        <v>Nepal</v>
      </c>
      <c r="G17" s="2" t="str">
        <f t="shared" si="7"/>
        <v>Lost</v>
      </c>
      <c r="H17" s="3">
        <f t="shared" si="8"/>
        <v>46306</v>
      </c>
      <c r="I17" s="3">
        <f t="shared" si="9"/>
        <v>46313</v>
      </c>
      <c r="J17" s="2" t="str">
        <f t="shared" si="10"/>
        <v>Sarah</v>
      </c>
    </row>
    <row r="18">
      <c r="A18" s="2" t="str">
        <f t="shared" si="1"/>
        <v>CUST-017</v>
      </c>
      <c r="B18" s="2" t="str">
        <f t="shared" si="2"/>
        <v>Customer 017</v>
      </c>
      <c r="C18" s="2" t="str">
        <f t="shared" si="3"/>
        <v>customerCUST-017@gmail.com</v>
      </c>
      <c r="D18" s="2" t="str">
        <f t="shared" si="4"/>
        <v>9872659819</v>
      </c>
      <c r="E18" s="2" t="str">
        <f t="shared" si="5"/>
        <v>Everest Traders</v>
      </c>
      <c r="F18" s="2" t="str">
        <f t="shared" si="6"/>
        <v>Canada</v>
      </c>
      <c r="G18" s="2" t="str">
        <f t="shared" si="7"/>
        <v>Won</v>
      </c>
      <c r="H18" s="3">
        <f t="shared" si="8"/>
        <v>46316</v>
      </c>
      <c r="I18" s="3">
        <f t="shared" si="9"/>
        <v>46323</v>
      </c>
      <c r="J18" s="2" t="str">
        <f t="shared" si="10"/>
        <v>Michael</v>
      </c>
    </row>
    <row r="19">
      <c r="A19" s="2" t="str">
        <f t="shared" si="1"/>
        <v>CUST-018</v>
      </c>
      <c r="B19" s="2" t="str">
        <f t="shared" si="2"/>
        <v>Customer 018</v>
      </c>
      <c r="C19" s="2" t="str">
        <f t="shared" si="3"/>
        <v>customerCUST-018@gmail.com</v>
      </c>
      <c r="D19" s="2" t="str">
        <f t="shared" si="4"/>
        <v>9856945077</v>
      </c>
      <c r="E19" s="2" t="str">
        <f t="shared" si="5"/>
        <v>ABC Pvt Ltd</v>
      </c>
      <c r="F19" s="2" t="str">
        <f t="shared" si="6"/>
        <v>Australia</v>
      </c>
      <c r="G19" s="2" t="str">
        <f t="shared" si="7"/>
        <v>New</v>
      </c>
      <c r="H19" s="3">
        <f t="shared" si="8"/>
        <v>46300</v>
      </c>
      <c r="I19" s="3">
        <f t="shared" si="9"/>
        <v>46307</v>
      </c>
      <c r="J19" s="2" t="str">
        <f t="shared" si="10"/>
        <v>John</v>
      </c>
    </row>
    <row r="20">
      <c r="A20" s="2" t="str">
        <f t="shared" si="1"/>
        <v>CUST-019</v>
      </c>
      <c r="B20" s="2" t="str">
        <f t="shared" si="2"/>
        <v>Customer 019</v>
      </c>
      <c r="C20" s="2" t="str">
        <f t="shared" si="3"/>
        <v>customerCUST-019@gmail.com</v>
      </c>
      <c r="D20" s="2" t="str">
        <f t="shared" si="4"/>
        <v>9891246106</v>
      </c>
      <c r="E20" s="2" t="str">
        <f t="shared" si="5"/>
        <v>Global Tech</v>
      </c>
      <c r="F20" s="2" t="str">
        <f t="shared" si="6"/>
        <v>India</v>
      </c>
      <c r="G20" s="2" t="str">
        <f t="shared" si="7"/>
        <v>Contacted</v>
      </c>
      <c r="H20" s="3">
        <f t="shared" si="8"/>
        <v>46208</v>
      </c>
      <c r="I20" s="3">
        <f t="shared" si="9"/>
        <v>46215</v>
      </c>
      <c r="J20" s="2" t="str">
        <f t="shared" si="10"/>
        <v>Emma</v>
      </c>
    </row>
    <row r="21">
      <c r="A21" s="2" t="str">
        <f t="shared" si="1"/>
        <v>CUST-020</v>
      </c>
      <c r="B21" s="2" t="str">
        <f t="shared" si="2"/>
        <v>Customer 020</v>
      </c>
      <c r="C21" s="2" t="str">
        <f t="shared" si="3"/>
        <v>customerCUST-020@gmail.com</v>
      </c>
      <c r="D21" s="2" t="str">
        <f t="shared" si="4"/>
        <v>9845132178</v>
      </c>
      <c r="E21" s="2" t="str">
        <f t="shared" si="5"/>
        <v>Sky Solutions</v>
      </c>
      <c r="F21" s="2" t="str">
        <f t="shared" si="6"/>
        <v>Australia</v>
      </c>
      <c r="G21" s="2" t="str">
        <f t="shared" si="7"/>
        <v>Contacted</v>
      </c>
      <c r="H21" s="3">
        <f t="shared" si="8"/>
        <v>46151</v>
      </c>
      <c r="I21" s="3">
        <f t="shared" si="9"/>
        <v>46158</v>
      </c>
      <c r="J21" s="2" t="str">
        <f t="shared" si="10"/>
        <v>David</v>
      </c>
    </row>
    <row r="22">
      <c r="A22" s="2" t="str">
        <f t="shared" si="1"/>
        <v>CUST-021</v>
      </c>
      <c r="B22" s="2" t="str">
        <f t="shared" si="2"/>
        <v>Customer 021</v>
      </c>
      <c r="C22" s="2" t="str">
        <f t="shared" si="3"/>
        <v>customerCUST-021@gmail.com</v>
      </c>
      <c r="D22" s="2" t="str">
        <f t="shared" si="4"/>
        <v>9870594086</v>
      </c>
      <c r="E22" s="2" t="str">
        <f t="shared" si="5"/>
        <v>ABC Pvt Ltd</v>
      </c>
      <c r="F22" s="2" t="str">
        <f t="shared" si="6"/>
        <v>India</v>
      </c>
      <c r="G22" s="2" t="str">
        <f t="shared" si="7"/>
        <v>Lost</v>
      </c>
      <c r="H22" s="3">
        <f t="shared" si="8"/>
        <v>46103</v>
      </c>
      <c r="I22" s="3">
        <f t="shared" si="9"/>
        <v>46110</v>
      </c>
      <c r="J22" s="2" t="str">
        <f t="shared" si="10"/>
        <v>Michael</v>
      </c>
    </row>
    <row r="23">
      <c r="A23" s="2" t="str">
        <f t="shared" si="1"/>
        <v>CUST-022</v>
      </c>
      <c r="B23" s="2" t="str">
        <f t="shared" si="2"/>
        <v>Customer 022</v>
      </c>
      <c r="C23" s="2" t="str">
        <f t="shared" si="3"/>
        <v>customerCUST-022@gmail.com</v>
      </c>
      <c r="D23" s="2" t="str">
        <f t="shared" si="4"/>
        <v>9863574440</v>
      </c>
      <c r="E23" s="2" t="str">
        <f t="shared" si="5"/>
        <v>Sky Solutions</v>
      </c>
      <c r="F23" s="2" t="str">
        <f t="shared" si="6"/>
        <v>Nepal</v>
      </c>
      <c r="G23" s="2" t="str">
        <f t="shared" si="7"/>
        <v>Lost</v>
      </c>
      <c r="H23" s="3">
        <f t="shared" si="8"/>
        <v>46228</v>
      </c>
      <c r="I23" s="3">
        <f t="shared" si="9"/>
        <v>46235</v>
      </c>
      <c r="J23" s="2" t="str">
        <f t="shared" si="10"/>
        <v>Emma</v>
      </c>
    </row>
    <row r="24">
      <c r="A24" s="2" t="str">
        <f t="shared" si="1"/>
        <v>CUST-023</v>
      </c>
      <c r="B24" s="2" t="str">
        <f t="shared" si="2"/>
        <v>Customer 023</v>
      </c>
      <c r="C24" s="2" t="str">
        <f t="shared" si="3"/>
        <v>customerCUST-023@gmail.com</v>
      </c>
      <c r="D24" s="2" t="str">
        <f t="shared" si="4"/>
        <v>9864518113</v>
      </c>
      <c r="E24" s="2" t="str">
        <f t="shared" si="5"/>
        <v>ABC Pvt Ltd</v>
      </c>
      <c r="F24" s="2" t="str">
        <f t="shared" si="6"/>
        <v>India</v>
      </c>
      <c r="G24" s="2" t="str">
        <f t="shared" si="7"/>
        <v>Lost</v>
      </c>
      <c r="H24" s="3">
        <f t="shared" si="8"/>
        <v>46179</v>
      </c>
      <c r="I24" s="3">
        <f t="shared" si="9"/>
        <v>46186</v>
      </c>
      <c r="J24" s="2" t="str">
        <f t="shared" si="10"/>
        <v>Michael</v>
      </c>
    </row>
    <row r="25">
      <c r="A25" s="2" t="str">
        <f t="shared" si="1"/>
        <v>CUST-024</v>
      </c>
      <c r="B25" s="2" t="str">
        <f t="shared" si="2"/>
        <v>Customer 024</v>
      </c>
      <c r="C25" s="2" t="str">
        <f t="shared" si="3"/>
        <v>customerCUST-024@gmail.com</v>
      </c>
      <c r="D25" s="2" t="str">
        <f t="shared" si="4"/>
        <v>9814062919</v>
      </c>
      <c r="E25" s="2" t="str">
        <f t="shared" si="5"/>
        <v>ABC Pvt Ltd</v>
      </c>
      <c r="F25" s="2" t="str">
        <f t="shared" si="6"/>
        <v>Australia</v>
      </c>
      <c r="G25" s="2" t="str">
        <f t="shared" si="7"/>
        <v>Won</v>
      </c>
      <c r="H25" s="3">
        <f t="shared" si="8"/>
        <v>46087</v>
      </c>
      <c r="I25" s="3">
        <f t="shared" si="9"/>
        <v>46094</v>
      </c>
      <c r="J25" s="2" t="str">
        <f t="shared" si="10"/>
        <v>John</v>
      </c>
    </row>
    <row r="26">
      <c r="A26" s="2" t="str">
        <f t="shared" si="1"/>
        <v>CUST-025</v>
      </c>
      <c r="B26" s="2" t="str">
        <f t="shared" si="2"/>
        <v>Customer 025</v>
      </c>
      <c r="C26" s="2" t="str">
        <f t="shared" si="3"/>
        <v>customerCUST-025@gmail.com</v>
      </c>
      <c r="D26" s="2" t="str">
        <f t="shared" si="4"/>
        <v>9879493574</v>
      </c>
      <c r="E26" s="2" t="str">
        <f t="shared" si="5"/>
        <v>Global Tech</v>
      </c>
      <c r="F26" s="2" t="str">
        <f t="shared" si="6"/>
        <v>India</v>
      </c>
      <c r="G26" s="2" t="str">
        <f t="shared" si="7"/>
        <v>Lost</v>
      </c>
      <c r="H26" s="3">
        <f t="shared" si="8"/>
        <v>46352</v>
      </c>
      <c r="I26" s="3">
        <f t="shared" si="9"/>
        <v>46359</v>
      </c>
      <c r="J26" s="2" t="str">
        <f t="shared" si="10"/>
        <v>Emma</v>
      </c>
    </row>
    <row r="27">
      <c r="A27" s="2" t="str">
        <f t="shared" si="1"/>
        <v>CUST-026</v>
      </c>
      <c r="B27" s="2" t="str">
        <f t="shared" si="2"/>
        <v>Customer 026</v>
      </c>
      <c r="C27" s="2" t="str">
        <f t="shared" si="3"/>
        <v>customerCUST-026@gmail.com</v>
      </c>
      <c r="D27" s="2" t="str">
        <f t="shared" si="4"/>
        <v>9877301912</v>
      </c>
      <c r="E27" s="2" t="str">
        <f t="shared" si="5"/>
        <v>Everest Traders</v>
      </c>
      <c r="F27" s="2" t="str">
        <f t="shared" si="6"/>
        <v>USA</v>
      </c>
      <c r="G27" s="2" t="str">
        <f t="shared" si="7"/>
        <v>New</v>
      </c>
      <c r="H27" s="3">
        <f t="shared" si="8"/>
        <v>46317</v>
      </c>
      <c r="I27" s="3">
        <f t="shared" si="9"/>
        <v>46324</v>
      </c>
      <c r="J27" s="2" t="str">
        <f t="shared" si="10"/>
        <v>John</v>
      </c>
    </row>
    <row r="28">
      <c r="A28" s="2" t="str">
        <f t="shared" si="1"/>
        <v>CUST-027</v>
      </c>
      <c r="B28" s="2" t="str">
        <f t="shared" si="2"/>
        <v>Customer 027</v>
      </c>
      <c r="C28" s="2" t="str">
        <f t="shared" si="3"/>
        <v>customerCUST-027@gmail.com</v>
      </c>
      <c r="D28" s="2" t="str">
        <f t="shared" si="4"/>
        <v>9853382996</v>
      </c>
      <c r="E28" s="2" t="str">
        <f t="shared" si="5"/>
        <v>Sky Solutions</v>
      </c>
      <c r="F28" s="2" t="str">
        <f t="shared" si="6"/>
        <v>Australia</v>
      </c>
      <c r="G28" s="2" t="str">
        <f t="shared" si="7"/>
        <v>Lost</v>
      </c>
      <c r="H28" s="3">
        <f t="shared" si="8"/>
        <v>46044</v>
      </c>
      <c r="I28" s="3">
        <f t="shared" si="9"/>
        <v>46051</v>
      </c>
      <c r="J28" s="2" t="str">
        <f t="shared" si="10"/>
        <v>Emma</v>
      </c>
    </row>
    <row r="29">
      <c r="A29" s="2" t="str">
        <f t="shared" si="1"/>
        <v>CUST-028</v>
      </c>
      <c r="B29" s="2" t="str">
        <f t="shared" si="2"/>
        <v>Customer 028</v>
      </c>
      <c r="C29" s="2" t="str">
        <f t="shared" si="3"/>
        <v>customerCUST-028@gmail.com</v>
      </c>
      <c r="D29" s="2" t="str">
        <f t="shared" si="4"/>
        <v>9889190178</v>
      </c>
      <c r="E29" s="2" t="str">
        <f t="shared" si="5"/>
        <v>ABC Pvt Ltd</v>
      </c>
      <c r="F29" s="2" t="str">
        <f t="shared" si="6"/>
        <v>Australia</v>
      </c>
      <c r="G29" s="2" t="str">
        <f t="shared" si="7"/>
        <v>Lost</v>
      </c>
      <c r="H29" s="3">
        <f t="shared" si="8"/>
        <v>46261</v>
      </c>
      <c r="I29" s="3">
        <f t="shared" si="9"/>
        <v>46268</v>
      </c>
      <c r="J29" s="2" t="str">
        <f t="shared" si="10"/>
        <v>Michael</v>
      </c>
    </row>
    <row r="30">
      <c r="A30" s="2" t="str">
        <f t="shared" si="1"/>
        <v>CUST-029</v>
      </c>
      <c r="B30" s="2" t="str">
        <f t="shared" si="2"/>
        <v>Customer 029</v>
      </c>
      <c r="C30" s="2" t="str">
        <f t="shared" si="3"/>
        <v>customerCUST-029@gmail.com</v>
      </c>
      <c r="D30" s="2" t="str">
        <f t="shared" si="4"/>
        <v>9874058743</v>
      </c>
      <c r="E30" s="2" t="str">
        <f t="shared" si="5"/>
        <v>Global Tech</v>
      </c>
      <c r="F30" s="2" t="str">
        <f t="shared" si="6"/>
        <v>Canada</v>
      </c>
      <c r="G30" s="2" t="str">
        <f t="shared" si="7"/>
        <v>New</v>
      </c>
      <c r="H30" s="3">
        <f t="shared" si="8"/>
        <v>46336</v>
      </c>
      <c r="I30" s="3">
        <f t="shared" si="9"/>
        <v>46343</v>
      </c>
      <c r="J30" s="2" t="str">
        <f t="shared" si="10"/>
        <v>Michael</v>
      </c>
    </row>
    <row r="31">
      <c r="A31" s="2" t="str">
        <f t="shared" si="1"/>
        <v>CUST-030</v>
      </c>
      <c r="B31" s="2" t="str">
        <f t="shared" si="2"/>
        <v>Customer 030</v>
      </c>
      <c r="C31" s="2" t="str">
        <f t="shared" si="3"/>
        <v>customerCUST-030@gmail.com</v>
      </c>
      <c r="D31" s="2" t="str">
        <f t="shared" si="4"/>
        <v>9826224925</v>
      </c>
      <c r="E31" s="2" t="str">
        <f t="shared" si="5"/>
        <v>Global Tech</v>
      </c>
      <c r="F31" s="2" t="str">
        <f t="shared" si="6"/>
        <v>USA</v>
      </c>
      <c r="G31" s="2" t="str">
        <f t="shared" si="7"/>
        <v>Contacted</v>
      </c>
      <c r="H31" s="3">
        <f t="shared" si="8"/>
        <v>46083</v>
      </c>
      <c r="I31" s="3">
        <f t="shared" si="9"/>
        <v>46090</v>
      </c>
      <c r="J31" s="2" t="str">
        <f t="shared" si="10"/>
        <v>Sarah</v>
      </c>
    </row>
    <row r="32">
      <c r="A32" s="2" t="str">
        <f t="shared" si="1"/>
        <v>CUST-031</v>
      </c>
      <c r="B32" s="2" t="str">
        <f t="shared" si="2"/>
        <v>Customer 031</v>
      </c>
      <c r="C32" s="2" t="str">
        <f t="shared" si="3"/>
        <v>customerCUST-031@gmail.com</v>
      </c>
      <c r="D32" s="2" t="str">
        <f t="shared" si="4"/>
        <v>9842444442</v>
      </c>
      <c r="E32" s="2" t="str">
        <f t="shared" si="5"/>
        <v>Everest Traders</v>
      </c>
      <c r="F32" s="2" t="str">
        <f t="shared" si="6"/>
        <v>Canada</v>
      </c>
      <c r="G32" s="2" t="str">
        <f t="shared" si="7"/>
        <v>Lost</v>
      </c>
      <c r="H32" s="3">
        <f t="shared" si="8"/>
        <v>46187</v>
      </c>
      <c r="I32" s="3">
        <f t="shared" si="9"/>
        <v>46194</v>
      </c>
      <c r="J32" s="2" t="str">
        <f t="shared" si="10"/>
        <v>Michael</v>
      </c>
    </row>
    <row r="33">
      <c r="A33" s="2" t="str">
        <f t="shared" si="1"/>
        <v>CUST-032</v>
      </c>
      <c r="B33" s="2" t="str">
        <f t="shared" si="2"/>
        <v>Customer 032</v>
      </c>
      <c r="C33" s="2" t="str">
        <f t="shared" si="3"/>
        <v>customerCUST-032@gmail.com</v>
      </c>
      <c r="D33" s="2" t="str">
        <f t="shared" si="4"/>
        <v>9826544481</v>
      </c>
      <c r="E33" s="2" t="str">
        <f t="shared" si="5"/>
        <v>Global Tech</v>
      </c>
      <c r="F33" s="2" t="str">
        <f t="shared" si="6"/>
        <v>Canada</v>
      </c>
      <c r="G33" s="2" t="str">
        <f t="shared" si="7"/>
        <v>New</v>
      </c>
      <c r="H33" s="3">
        <f t="shared" si="8"/>
        <v>46167</v>
      </c>
      <c r="I33" s="3">
        <f t="shared" si="9"/>
        <v>46174</v>
      </c>
      <c r="J33" s="2" t="str">
        <f t="shared" si="10"/>
        <v>David</v>
      </c>
    </row>
    <row r="34">
      <c r="A34" s="2" t="str">
        <f t="shared" si="1"/>
        <v>CUST-033</v>
      </c>
      <c r="B34" s="2" t="str">
        <f t="shared" si="2"/>
        <v>Customer 033</v>
      </c>
      <c r="C34" s="2" t="str">
        <f t="shared" si="3"/>
        <v>customerCUST-033@gmail.com</v>
      </c>
      <c r="D34" s="2" t="str">
        <f t="shared" si="4"/>
        <v>9829788047</v>
      </c>
      <c r="E34" s="2" t="str">
        <f t="shared" si="5"/>
        <v>ABC Pvt Ltd</v>
      </c>
      <c r="F34" s="2" t="str">
        <f t="shared" si="6"/>
        <v>Australia</v>
      </c>
      <c r="G34" s="2" t="str">
        <f t="shared" si="7"/>
        <v>Contacted</v>
      </c>
      <c r="H34" s="3">
        <f t="shared" si="8"/>
        <v>46191</v>
      </c>
      <c r="I34" s="3">
        <f t="shared" si="9"/>
        <v>46198</v>
      </c>
      <c r="J34" s="2" t="str">
        <f t="shared" si="10"/>
        <v>Sarah</v>
      </c>
    </row>
    <row r="35">
      <c r="A35" s="2" t="str">
        <f t="shared" si="1"/>
        <v>CUST-034</v>
      </c>
      <c r="B35" s="2" t="str">
        <f t="shared" si="2"/>
        <v>Customer 034</v>
      </c>
      <c r="C35" s="2" t="str">
        <f t="shared" si="3"/>
        <v>customerCUST-034@gmail.com</v>
      </c>
      <c r="D35" s="2" t="str">
        <f t="shared" si="4"/>
        <v>9822889176</v>
      </c>
      <c r="E35" s="2" t="str">
        <f t="shared" si="5"/>
        <v>Sky Solutions</v>
      </c>
      <c r="F35" s="2" t="str">
        <f t="shared" si="6"/>
        <v>Nepal</v>
      </c>
      <c r="G35" s="2" t="str">
        <f t="shared" si="7"/>
        <v>Contacted</v>
      </c>
      <c r="H35" s="3">
        <f t="shared" si="8"/>
        <v>46270</v>
      </c>
      <c r="I35" s="3">
        <f t="shared" si="9"/>
        <v>46277</v>
      </c>
      <c r="J35" s="2" t="str">
        <f t="shared" si="10"/>
        <v>Michael</v>
      </c>
    </row>
    <row r="36">
      <c r="A36" s="2" t="str">
        <f t="shared" si="1"/>
        <v>CUST-035</v>
      </c>
      <c r="B36" s="2" t="str">
        <f t="shared" si="2"/>
        <v>Customer 035</v>
      </c>
      <c r="C36" s="2" t="str">
        <f t="shared" si="3"/>
        <v>customerCUST-035@gmail.com</v>
      </c>
      <c r="D36" s="2" t="str">
        <f t="shared" si="4"/>
        <v>9889185223</v>
      </c>
      <c r="E36" s="2" t="str">
        <f t="shared" si="5"/>
        <v>Himalayan Foods</v>
      </c>
      <c r="F36" s="2" t="str">
        <f t="shared" si="6"/>
        <v>Australia</v>
      </c>
      <c r="G36" s="2" t="str">
        <f t="shared" si="7"/>
        <v>New</v>
      </c>
      <c r="H36" s="3">
        <f t="shared" si="8"/>
        <v>46323</v>
      </c>
      <c r="I36" s="3">
        <f t="shared" si="9"/>
        <v>46330</v>
      </c>
      <c r="J36" s="2" t="str">
        <f t="shared" si="10"/>
        <v>John</v>
      </c>
    </row>
    <row r="37">
      <c r="A37" s="2" t="str">
        <f t="shared" si="1"/>
        <v>CUST-036</v>
      </c>
      <c r="B37" s="2" t="str">
        <f t="shared" si="2"/>
        <v>Customer 036</v>
      </c>
      <c r="C37" s="2" t="str">
        <f t="shared" si="3"/>
        <v>customerCUST-036@gmail.com</v>
      </c>
      <c r="D37" s="2" t="str">
        <f t="shared" si="4"/>
        <v>9892428109</v>
      </c>
      <c r="E37" s="2" t="str">
        <f t="shared" si="5"/>
        <v>Sky Solutions</v>
      </c>
      <c r="F37" s="2" t="str">
        <f t="shared" si="6"/>
        <v>India</v>
      </c>
      <c r="G37" s="2" t="str">
        <f t="shared" si="7"/>
        <v>New</v>
      </c>
      <c r="H37" s="3">
        <f t="shared" si="8"/>
        <v>46330</v>
      </c>
      <c r="I37" s="3">
        <f t="shared" si="9"/>
        <v>46337</v>
      </c>
      <c r="J37" s="2" t="str">
        <f t="shared" si="10"/>
        <v>David</v>
      </c>
    </row>
    <row r="38">
      <c r="A38" s="2" t="str">
        <f t="shared" si="1"/>
        <v>CUST-037</v>
      </c>
      <c r="B38" s="2" t="str">
        <f t="shared" si="2"/>
        <v>Customer 037</v>
      </c>
      <c r="C38" s="2" t="str">
        <f t="shared" si="3"/>
        <v>customerCUST-037@gmail.com</v>
      </c>
      <c r="D38" s="2" t="str">
        <f t="shared" si="4"/>
        <v>9881854202</v>
      </c>
      <c r="E38" s="2" t="str">
        <f t="shared" si="5"/>
        <v>Himalayan Foods</v>
      </c>
      <c r="F38" s="2" t="str">
        <f t="shared" si="6"/>
        <v>India</v>
      </c>
      <c r="G38" s="2" t="str">
        <f t="shared" si="7"/>
        <v>Contacted</v>
      </c>
      <c r="H38" s="3">
        <f t="shared" si="8"/>
        <v>46031</v>
      </c>
      <c r="I38" s="3">
        <f t="shared" si="9"/>
        <v>46038</v>
      </c>
      <c r="J38" s="2" t="str">
        <f t="shared" si="10"/>
        <v>Emma</v>
      </c>
    </row>
    <row r="39">
      <c r="A39" s="2" t="str">
        <f t="shared" si="1"/>
        <v>CUST-038</v>
      </c>
      <c r="B39" s="2" t="str">
        <f t="shared" si="2"/>
        <v>Customer 038</v>
      </c>
      <c r="C39" s="2" t="str">
        <f t="shared" si="3"/>
        <v>customerCUST-038@gmail.com</v>
      </c>
      <c r="D39" s="2" t="str">
        <f t="shared" si="4"/>
        <v>9843911408</v>
      </c>
      <c r="E39" s="2" t="str">
        <f t="shared" si="5"/>
        <v>Sky Solutions</v>
      </c>
      <c r="F39" s="2" t="str">
        <f t="shared" si="6"/>
        <v>Nepal</v>
      </c>
      <c r="G39" s="2" t="str">
        <f t="shared" si="7"/>
        <v>New</v>
      </c>
      <c r="H39" s="3">
        <f t="shared" si="8"/>
        <v>46358</v>
      </c>
      <c r="I39" s="3">
        <f t="shared" si="9"/>
        <v>46365</v>
      </c>
      <c r="J39" s="2" t="str">
        <f t="shared" si="10"/>
        <v>Sarah</v>
      </c>
    </row>
    <row r="40">
      <c r="A40" s="2" t="str">
        <f t="shared" si="1"/>
        <v>CUST-039</v>
      </c>
      <c r="B40" s="2" t="str">
        <f t="shared" si="2"/>
        <v>Customer 039</v>
      </c>
      <c r="C40" s="2" t="str">
        <f t="shared" si="3"/>
        <v>customerCUST-039@gmail.com</v>
      </c>
      <c r="D40" s="2" t="str">
        <f t="shared" si="4"/>
        <v>9828064641</v>
      </c>
      <c r="E40" s="2" t="str">
        <f t="shared" si="5"/>
        <v>Global Tech</v>
      </c>
      <c r="F40" s="2" t="str">
        <f t="shared" si="6"/>
        <v>USA</v>
      </c>
      <c r="G40" s="2" t="str">
        <f t="shared" si="7"/>
        <v>New</v>
      </c>
      <c r="H40" s="3">
        <f t="shared" si="8"/>
        <v>46310</v>
      </c>
      <c r="I40" s="3">
        <f t="shared" si="9"/>
        <v>46317</v>
      </c>
      <c r="J40" s="2" t="str">
        <f t="shared" si="10"/>
        <v>Michael</v>
      </c>
    </row>
    <row r="41">
      <c r="A41" s="2" t="str">
        <f t="shared" si="1"/>
        <v>CUST-040</v>
      </c>
      <c r="B41" s="2" t="str">
        <f t="shared" si="2"/>
        <v>Customer 040</v>
      </c>
      <c r="C41" s="2" t="str">
        <f t="shared" si="3"/>
        <v>customerCUST-040@gmail.com</v>
      </c>
      <c r="D41" s="2" t="str">
        <f t="shared" si="4"/>
        <v>9867434185</v>
      </c>
      <c r="E41" s="2" t="str">
        <f t="shared" si="5"/>
        <v>Sky Solutions</v>
      </c>
      <c r="F41" s="2" t="str">
        <f t="shared" si="6"/>
        <v>Australia</v>
      </c>
      <c r="G41" s="2" t="str">
        <f t="shared" si="7"/>
        <v>Lost</v>
      </c>
      <c r="H41" s="3">
        <f t="shared" si="8"/>
        <v>46284</v>
      </c>
      <c r="I41" s="3">
        <f t="shared" si="9"/>
        <v>46291</v>
      </c>
      <c r="J41" s="2" t="str">
        <f t="shared" si="10"/>
        <v>John</v>
      </c>
    </row>
    <row r="42">
      <c r="A42" s="2" t="str">
        <f t="shared" si="1"/>
        <v>CUST-041</v>
      </c>
      <c r="B42" s="2" t="str">
        <f t="shared" si="2"/>
        <v>Customer 041</v>
      </c>
      <c r="C42" s="2" t="str">
        <f t="shared" si="3"/>
        <v>customerCUST-041@gmail.com</v>
      </c>
      <c r="D42" s="2" t="str">
        <f t="shared" si="4"/>
        <v>9815367366</v>
      </c>
      <c r="E42" s="2" t="str">
        <f t="shared" si="5"/>
        <v>ABC Pvt Ltd</v>
      </c>
      <c r="F42" s="2" t="str">
        <f t="shared" si="6"/>
        <v>Canada</v>
      </c>
      <c r="G42" s="2" t="str">
        <f t="shared" si="7"/>
        <v>Won</v>
      </c>
      <c r="H42" s="3">
        <f t="shared" si="8"/>
        <v>46358</v>
      </c>
      <c r="I42" s="3">
        <f t="shared" si="9"/>
        <v>46365</v>
      </c>
      <c r="J42" s="2" t="str">
        <f t="shared" si="10"/>
        <v>David</v>
      </c>
    </row>
    <row r="43">
      <c r="A43" s="2" t="str">
        <f t="shared" si="1"/>
        <v>CUST-042</v>
      </c>
      <c r="B43" s="2" t="str">
        <f t="shared" si="2"/>
        <v>Customer 042</v>
      </c>
      <c r="C43" s="2" t="str">
        <f t="shared" si="3"/>
        <v>customerCUST-042@gmail.com</v>
      </c>
      <c r="D43" s="2" t="str">
        <f t="shared" si="4"/>
        <v>9825741387</v>
      </c>
      <c r="E43" s="2" t="str">
        <f t="shared" si="5"/>
        <v>Himalayan Foods</v>
      </c>
      <c r="F43" s="2" t="str">
        <f t="shared" si="6"/>
        <v>Canada</v>
      </c>
      <c r="G43" s="2" t="str">
        <f t="shared" si="7"/>
        <v>Contacted</v>
      </c>
      <c r="H43" s="3">
        <f t="shared" si="8"/>
        <v>46262</v>
      </c>
      <c r="I43" s="3">
        <f t="shared" si="9"/>
        <v>46269</v>
      </c>
      <c r="J43" s="2" t="str">
        <f t="shared" si="10"/>
        <v>David</v>
      </c>
    </row>
    <row r="44">
      <c r="A44" s="2" t="str">
        <f t="shared" si="1"/>
        <v>CUST-043</v>
      </c>
      <c r="B44" s="2" t="str">
        <f t="shared" si="2"/>
        <v>Customer 043</v>
      </c>
      <c r="C44" s="2" t="str">
        <f t="shared" si="3"/>
        <v>customerCUST-043@gmail.com</v>
      </c>
      <c r="D44" s="2" t="str">
        <f t="shared" si="4"/>
        <v>9815564177</v>
      </c>
      <c r="E44" s="2" t="str">
        <f t="shared" si="5"/>
        <v>Sky Solutions</v>
      </c>
      <c r="F44" s="2" t="str">
        <f t="shared" si="6"/>
        <v>USA</v>
      </c>
      <c r="G44" s="2" t="str">
        <f t="shared" si="7"/>
        <v>New</v>
      </c>
      <c r="H44" s="3">
        <f t="shared" si="8"/>
        <v>46119</v>
      </c>
      <c r="I44" s="3">
        <f t="shared" si="9"/>
        <v>46126</v>
      </c>
      <c r="J44" s="2" t="str">
        <f t="shared" si="10"/>
        <v>David</v>
      </c>
    </row>
    <row r="45">
      <c r="A45" s="2" t="str">
        <f t="shared" si="1"/>
        <v>CUST-044</v>
      </c>
      <c r="B45" s="2" t="str">
        <f t="shared" si="2"/>
        <v>Customer 044</v>
      </c>
      <c r="C45" s="2" t="str">
        <f t="shared" si="3"/>
        <v>customerCUST-044@gmail.com</v>
      </c>
      <c r="D45" s="2" t="str">
        <f t="shared" si="4"/>
        <v>9887495634</v>
      </c>
      <c r="E45" s="2" t="str">
        <f t="shared" si="5"/>
        <v>Himalayan Foods</v>
      </c>
      <c r="F45" s="2" t="str">
        <f t="shared" si="6"/>
        <v>India</v>
      </c>
      <c r="G45" s="2" t="str">
        <f t="shared" si="7"/>
        <v>Lost</v>
      </c>
      <c r="H45" s="3">
        <f t="shared" si="8"/>
        <v>46329</v>
      </c>
      <c r="I45" s="3">
        <f t="shared" si="9"/>
        <v>46336</v>
      </c>
      <c r="J45" s="2" t="str">
        <f t="shared" si="10"/>
        <v>Emma</v>
      </c>
    </row>
    <row r="46">
      <c r="A46" s="2" t="str">
        <f t="shared" si="1"/>
        <v>CUST-045</v>
      </c>
      <c r="B46" s="2" t="str">
        <f t="shared" si="2"/>
        <v>Customer 045</v>
      </c>
      <c r="C46" s="2" t="str">
        <f t="shared" si="3"/>
        <v>customerCUST-045@gmail.com</v>
      </c>
      <c r="D46" s="2" t="str">
        <f t="shared" si="4"/>
        <v>9860183511</v>
      </c>
      <c r="E46" s="2" t="str">
        <f t="shared" si="5"/>
        <v>Everest Traders</v>
      </c>
      <c r="F46" s="2" t="str">
        <f t="shared" si="6"/>
        <v>India</v>
      </c>
      <c r="G46" s="2" t="str">
        <f t="shared" si="7"/>
        <v>Lost</v>
      </c>
      <c r="H46" s="3">
        <f t="shared" si="8"/>
        <v>46369</v>
      </c>
      <c r="I46" s="3">
        <f t="shared" si="9"/>
        <v>46376</v>
      </c>
      <c r="J46" s="2" t="str">
        <f t="shared" si="10"/>
        <v>David</v>
      </c>
    </row>
    <row r="47">
      <c r="A47" s="2" t="str">
        <f t="shared" si="1"/>
        <v>CUST-046</v>
      </c>
      <c r="B47" s="2" t="str">
        <f t="shared" si="2"/>
        <v>Customer 046</v>
      </c>
      <c r="C47" s="2" t="str">
        <f t="shared" si="3"/>
        <v>customerCUST-046@gmail.com</v>
      </c>
      <c r="D47" s="2" t="str">
        <f t="shared" si="4"/>
        <v>9853337065</v>
      </c>
      <c r="E47" s="2" t="str">
        <f t="shared" si="5"/>
        <v>Himalayan Foods</v>
      </c>
      <c r="F47" s="2" t="str">
        <f t="shared" si="6"/>
        <v>Canada</v>
      </c>
      <c r="G47" s="2" t="str">
        <f t="shared" si="7"/>
        <v>Lost</v>
      </c>
      <c r="H47" s="3">
        <f t="shared" si="8"/>
        <v>46256</v>
      </c>
      <c r="I47" s="3">
        <f t="shared" si="9"/>
        <v>46263</v>
      </c>
      <c r="J47" s="2" t="str">
        <f t="shared" si="10"/>
        <v>David</v>
      </c>
    </row>
    <row r="48">
      <c r="A48" s="2" t="str">
        <f t="shared" si="1"/>
        <v>CUST-047</v>
      </c>
      <c r="B48" s="2" t="str">
        <f t="shared" si="2"/>
        <v>Customer 047</v>
      </c>
      <c r="C48" s="2" t="str">
        <f t="shared" si="3"/>
        <v>customerCUST-047@gmail.com</v>
      </c>
      <c r="D48" s="2" t="str">
        <f t="shared" si="4"/>
        <v>9818856242</v>
      </c>
      <c r="E48" s="2" t="str">
        <f t="shared" si="5"/>
        <v>Global Tech</v>
      </c>
      <c r="F48" s="2" t="str">
        <f t="shared" si="6"/>
        <v>Canada</v>
      </c>
      <c r="G48" s="2" t="str">
        <f t="shared" si="7"/>
        <v>Lost</v>
      </c>
      <c r="H48" s="3">
        <f t="shared" si="8"/>
        <v>46034</v>
      </c>
      <c r="I48" s="3">
        <f t="shared" si="9"/>
        <v>46041</v>
      </c>
      <c r="J48" s="2" t="str">
        <f t="shared" si="10"/>
        <v>David</v>
      </c>
    </row>
    <row r="49">
      <c r="A49" s="2" t="str">
        <f t="shared" si="1"/>
        <v>CUST-048</v>
      </c>
      <c r="B49" s="2" t="str">
        <f t="shared" si="2"/>
        <v>Customer 048</v>
      </c>
      <c r="C49" s="2" t="str">
        <f t="shared" si="3"/>
        <v>customerCUST-048@gmail.com</v>
      </c>
      <c r="D49" s="2" t="str">
        <f t="shared" si="4"/>
        <v>9890481111</v>
      </c>
      <c r="E49" s="2" t="str">
        <f t="shared" si="5"/>
        <v>Sky Solutions</v>
      </c>
      <c r="F49" s="2" t="str">
        <f t="shared" si="6"/>
        <v>Canada</v>
      </c>
      <c r="G49" s="2" t="str">
        <f t="shared" si="7"/>
        <v>Lost</v>
      </c>
      <c r="H49" s="3">
        <f t="shared" si="8"/>
        <v>46231</v>
      </c>
      <c r="I49" s="3">
        <f t="shared" si="9"/>
        <v>46238</v>
      </c>
      <c r="J49" s="2" t="str">
        <f t="shared" si="10"/>
        <v>David</v>
      </c>
    </row>
    <row r="50">
      <c r="A50" s="2" t="str">
        <f t="shared" si="1"/>
        <v>CUST-049</v>
      </c>
      <c r="B50" s="2" t="str">
        <f t="shared" si="2"/>
        <v>Customer 049</v>
      </c>
      <c r="C50" s="2" t="str">
        <f t="shared" si="3"/>
        <v>customerCUST-049@gmail.com</v>
      </c>
      <c r="D50" s="2" t="str">
        <f t="shared" si="4"/>
        <v>9838465066</v>
      </c>
      <c r="E50" s="2" t="str">
        <f t="shared" si="5"/>
        <v>ABC Pvt Ltd</v>
      </c>
      <c r="F50" s="2" t="str">
        <f t="shared" si="6"/>
        <v>Nepal</v>
      </c>
      <c r="G50" s="2" t="str">
        <f t="shared" si="7"/>
        <v>Contacted</v>
      </c>
      <c r="H50" s="3">
        <f t="shared" si="8"/>
        <v>46240</v>
      </c>
      <c r="I50" s="3">
        <f t="shared" si="9"/>
        <v>46247</v>
      </c>
      <c r="J50" s="2" t="str">
        <f t="shared" si="10"/>
        <v>Emma</v>
      </c>
    </row>
    <row r="51">
      <c r="A51" s="2" t="str">
        <f t="shared" si="1"/>
        <v>CUST-050</v>
      </c>
      <c r="B51" s="2" t="str">
        <f t="shared" si="2"/>
        <v>Customer 050</v>
      </c>
      <c r="C51" s="2" t="str">
        <f t="shared" si="3"/>
        <v>customerCUST-050@gmail.com</v>
      </c>
      <c r="D51" s="2" t="str">
        <f t="shared" si="4"/>
        <v>9823653847</v>
      </c>
      <c r="E51" s="2" t="str">
        <f t="shared" si="5"/>
        <v>Sky Solutions</v>
      </c>
      <c r="F51" s="2" t="str">
        <f t="shared" si="6"/>
        <v>Canada</v>
      </c>
      <c r="G51" s="2" t="str">
        <f t="shared" si="7"/>
        <v>Won</v>
      </c>
      <c r="H51" s="3">
        <f t="shared" si="8"/>
        <v>46372</v>
      </c>
      <c r="I51" s="3">
        <f t="shared" si="9"/>
        <v>46379</v>
      </c>
      <c r="J51" s="2" t="str">
        <f t="shared" si="10"/>
        <v>Emma</v>
      </c>
    </row>
    <row r="52">
      <c r="A52" s="2" t="str">
        <f t="shared" si="1"/>
        <v>CUST-051</v>
      </c>
      <c r="B52" s="2" t="str">
        <f t="shared" si="2"/>
        <v>Customer 051</v>
      </c>
      <c r="C52" s="2" t="str">
        <f t="shared" si="3"/>
        <v>customerCUST-051@gmail.com</v>
      </c>
      <c r="D52" s="2" t="str">
        <f t="shared" si="4"/>
        <v>9884100965</v>
      </c>
      <c r="E52" s="2" t="str">
        <f t="shared" si="5"/>
        <v>Global Tech</v>
      </c>
      <c r="F52" s="2" t="str">
        <f t="shared" si="6"/>
        <v>USA</v>
      </c>
      <c r="G52" s="2" t="str">
        <f t="shared" si="7"/>
        <v>New</v>
      </c>
      <c r="H52" s="3">
        <f t="shared" si="8"/>
        <v>46359</v>
      </c>
      <c r="I52" s="3">
        <f t="shared" si="9"/>
        <v>46366</v>
      </c>
      <c r="J52" s="2" t="str">
        <f t="shared" si="10"/>
        <v>Emma</v>
      </c>
    </row>
    <row r="53">
      <c r="A53" s="2" t="str">
        <f t="shared" si="1"/>
        <v>CUST-052</v>
      </c>
      <c r="B53" s="2" t="str">
        <f t="shared" si="2"/>
        <v>Customer 052</v>
      </c>
      <c r="C53" s="2" t="str">
        <f t="shared" si="3"/>
        <v>customerCUST-052@gmail.com</v>
      </c>
      <c r="D53" s="2" t="str">
        <f t="shared" si="4"/>
        <v>9841513299</v>
      </c>
      <c r="E53" s="2" t="str">
        <f t="shared" si="5"/>
        <v>Himalayan Foods</v>
      </c>
      <c r="F53" s="2" t="str">
        <f t="shared" si="6"/>
        <v>Canada</v>
      </c>
      <c r="G53" s="2" t="str">
        <f t="shared" si="7"/>
        <v>Won</v>
      </c>
      <c r="H53" s="3">
        <f t="shared" si="8"/>
        <v>46235</v>
      </c>
      <c r="I53" s="3">
        <f t="shared" si="9"/>
        <v>46242</v>
      </c>
      <c r="J53" s="2" t="str">
        <f t="shared" si="10"/>
        <v>John</v>
      </c>
    </row>
    <row r="54">
      <c r="A54" s="2" t="str">
        <f t="shared" si="1"/>
        <v>CUST-053</v>
      </c>
      <c r="B54" s="2" t="str">
        <f t="shared" si="2"/>
        <v>Customer 053</v>
      </c>
      <c r="C54" s="2" t="str">
        <f t="shared" si="3"/>
        <v>customerCUST-053@gmail.com</v>
      </c>
      <c r="D54" s="2" t="str">
        <f t="shared" si="4"/>
        <v>9827312250</v>
      </c>
      <c r="E54" s="2" t="str">
        <f t="shared" si="5"/>
        <v>ABC Pvt Ltd</v>
      </c>
      <c r="F54" s="2" t="str">
        <f t="shared" si="6"/>
        <v>India</v>
      </c>
      <c r="G54" s="2" t="str">
        <f t="shared" si="7"/>
        <v>Won</v>
      </c>
      <c r="H54" s="3">
        <f t="shared" si="8"/>
        <v>46253</v>
      </c>
      <c r="I54" s="3">
        <f t="shared" si="9"/>
        <v>46260</v>
      </c>
      <c r="J54" s="2" t="str">
        <f t="shared" si="10"/>
        <v>John</v>
      </c>
    </row>
    <row r="55">
      <c r="A55" s="2" t="str">
        <f t="shared" si="1"/>
        <v>CUST-054</v>
      </c>
      <c r="B55" s="2" t="str">
        <f t="shared" si="2"/>
        <v>Customer 054</v>
      </c>
      <c r="C55" s="2" t="str">
        <f t="shared" si="3"/>
        <v>customerCUST-054@gmail.com</v>
      </c>
      <c r="D55" s="2" t="str">
        <f t="shared" si="4"/>
        <v>9822538391</v>
      </c>
      <c r="E55" s="2" t="str">
        <f t="shared" si="5"/>
        <v>Sky Solutions</v>
      </c>
      <c r="F55" s="2" t="str">
        <f t="shared" si="6"/>
        <v>USA</v>
      </c>
      <c r="G55" s="2" t="str">
        <f t="shared" si="7"/>
        <v>Won</v>
      </c>
      <c r="H55" s="3">
        <f t="shared" si="8"/>
        <v>46213</v>
      </c>
      <c r="I55" s="3">
        <f t="shared" si="9"/>
        <v>46220</v>
      </c>
      <c r="J55" s="2" t="str">
        <f t="shared" si="10"/>
        <v>David</v>
      </c>
    </row>
    <row r="56">
      <c r="A56" s="2" t="str">
        <f t="shared" si="1"/>
        <v>CUST-055</v>
      </c>
      <c r="B56" s="2" t="str">
        <f t="shared" si="2"/>
        <v>Customer 055</v>
      </c>
      <c r="C56" s="2" t="str">
        <f t="shared" si="3"/>
        <v>customerCUST-055@gmail.com</v>
      </c>
      <c r="D56" s="2" t="str">
        <f t="shared" si="4"/>
        <v>9837768549</v>
      </c>
      <c r="E56" s="2" t="str">
        <f t="shared" si="5"/>
        <v>Global Tech</v>
      </c>
      <c r="F56" s="2" t="str">
        <f t="shared" si="6"/>
        <v>Canada</v>
      </c>
      <c r="G56" s="2" t="str">
        <f t="shared" si="7"/>
        <v>New</v>
      </c>
      <c r="H56" s="3">
        <f t="shared" si="8"/>
        <v>46066</v>
      </c>
      <c r="I56" s="3">
        <f t="shared" si="9"/>
        <v>46073</v>
      </c>
      <c r="J56" s="2" t="str">
        <f t="shared" si="10"/>
        <v>David</v>
      </c>
    </row>
    <row r="57">
      <c r="A57" s="2" t="str">
        <f t="shared" si="1"/>
        <v>CUST-056</v>
      </c>
      <c r="B57" s="2" t="str">
        <f t="shared" si="2"/>
        <v>Customer 056</v>
      </c>
      <c r="C57" s="2" t="str">
        <f t="shared" si="3"/>
        <v>customerCUST-056@gmail.com</v>
      </c>
      <c r="D57" s="2" t="str">
        <f t="shared" si="4"/>
        <v>9891405619</v>
      </c>
      <c r="E57" s="2" t="str">
        <f t="shared" si="5"/>
        <v>Everest Traders</v>
      </c>
      <c r="F57" s="2" t="str">
        <f t="shared" si="6"/>
        <v>India</v>
      </c>
      <c r="G57" s="2" t="str">
        <f t="shared" si="7"/>
        <v>New</v>
      </c>
      <c r="H57" s="3">
        <f t="shared" si="8"/>
        <v>46028</v>
      </c>
      <c r="I57" s="3">
        <f t="shared" si="9"/>
        <v>46035</v>
      </c>
      <c r="J57" s="2" t="str">
        <f t="shared" si="10"/>
        <v>Michael</v>
      </c>
    </row>
    <row r="58">
      <c r="A58" s="2" t="str">
        <f t="shared" si="1"/>
        <v>CUST-057</v>
      </c>
      <c r="B58" s="2" t="str">
        <f t="shared" si="2"/>
        <v>Customer 057</v>
      </c>
      <c r="C58" s="2" t="str">
        <f t="shared" si="3"/>
        <v>customerCUST-057@gmail.com</v>
      </c>
      <c r="D58" s="2" t="str">
        <f t="shared" si="4"/>
        <v>9881957366</v>
      </c>
      <c r="E58" s="2" t="str">
        <f t="shared" si="5"/>
        <v>ABC Pvt Ltd</v>
      </c>
      <c r="F58" s="2" t="str">
        <f t="shared" si="6"/>
        <v>Nepal</v>
      </c>
      <c r="G58" s="2" t="str">
        <f t="shared" si="7"/>
        <v>Won</v>
      </c>
      <c r="H58" s="3">
        <f t="shared" si="8"/>
        <v>46148</v>
      </c>
      <c r="I58" s="3">
        <f t="shared" si="9"/>
        <v>46155</v>
      </c>
      <c r="J58" s="2" t="str">
        <f t="shared" si="10"/>
        <v>Emma</v>
      </c>
    </row>
    <row r="59">
      <c r="A59" s="2" t="str">
        <f t="shared" si="1"/>
        <v>CUST-058</v>
      </c>
      <c r="B59" s="2" t="str">
        <f t="shared" si="2"/>
        <v>Customer 058</v>
      </c>
      <c r="C59" s="2" t="str">
        <f t="shared" si="3"/>
        <v>customerCUST-058@gmail.com</v>
      </c>
      <c r="D59" s="2" t="str">
        <f t="shared" si="4"/>
        <v>9891869238</v>
      </c>
      <c r="E59" s="2" t="str">
        <f t="shared" si="5"/>
        <v>Sky Solutions</v>
      </c>
      <c r="F59" s="2" t="str">
        <f t="shared" si="6"/>
        <v>Canada</v>
      </c>
      <c r="G59" s="2" t="str">
        <f t="shared" si="7"/>
        <v>Won</v>
      </c>
      <c r="H59" s="3">
        <f t="shared" si="8"/>
        <v>46314</v>
      </c>
      <c r="I59" s="3">
        <f t="shared" si="9"/>
        <v>46321</v>
      </c>
      <c r="J59" s="2" t="str">
        <f t="shared" si="10"/>
        <v>Sarah</v>
      </c>
    </row>
    <row r="60">
      <c r="A60" s="2" t="str">
        <f t="shared" si="1"/>
        <v>CUST-059</v>
      </c>
      <c r="B60" s="2" t="str">
        <f t="shared" si="2"/>
        <v>Customer 059</v>
      </c>
      <c r="C60" s="2" t="str">
        <f t="shared" si="3"/>
        <v>customerCUST-059@gmail.com</v>
      </c>
      <c r="D60" s="2" t="str">
        <f t="shared" si="4"/>
        <v>9845839774</v>
      </c>
      <c r="E60" s="2" t="str">
        <f t="shared" si="5"/>
        <v>Everest Traders</v>
      </c>
      <c r="F60" s="2" t="str">
        <f t="shared" si="6"/>
        <v>USA</v>
      </c>
      <c r="G60" s="2" t="str">
        <f t="shared" si="7"/>
        <v>Won</v>
      </c>
      <c r="H60" s="3">
        <f t="shared" si="8"/>
        <v>46217</v>
      </c>
      <c r="I60" s="3">
        <f t="shared" si="9"/>
        <v>46224</v>
      </c>
      <c r="J60" s="2" t="str">
        <f t="shared" si="10"/>
        <v>David</v>
      </c>
    </row>
    <row r="61">
      <c r="A61" s="2" t="str">
        <f t="shared" si="1"/>
        <v>CUST-060</v>
      </c>
      <c r="B61" s="2" t="str">
        <f t="shared" si="2"/>
        <v>Customer 060</v>
      </c>
      <c r="C61" s="2" t="str">
        <f t="shared" si="3"/>
        <v>customerCUST-060@gmail.com</v>
      </c>
      <c r="D61" s="2" t="str">
        <f t="shared" si="4"/>
        <v>9880396598</v>
      </c>
      <c r="E61" s="2" t="str">
        <f t="shared" si="5"/>
        <v>Everest Traders</v>
      </c>
      <c r="F61" s="2" t="str">
        <f t="shared" si="6"/>
        <v>Australia</v>
      </c>
      <c r="G61" s="2" t="str">
        <f t="shared" si="7"/>
        <v>Lost</v>
      </c>
      <c r="H61" s="3">
        <f t="shared" si="8"/>
        <v>46039</v>
      </c>
      <c r="I61" s="3">
        <f t="shared" si="9"/>
        <v>46046</v>
      </c>
      <c r="J61" s="2" t="str">
        <f t="shared" si="10"/>
        <v>John</v>
      </c>
    </row>
    <row r="62">
      <c r="A62" s="2" t="str">
        <f t="shared" si="1"/>
        <v>CUST-061</v>
      </c>
      <c r="B62" s="2" t="str">
        <f t="shared" si="2"/>
        <v>Customer 061</v>
      </c>
      <c r="C62" s="2" t="str">
        <f t="shared" si="3"/>
        <v>customerCUST-061@gmail.com</v>
      </c>
      <c r="D62" s="2" t="str">
        <f t="shared" si="4"/>
        <v>9897250597</v>
      </c>
      <c r="E62" s="2" t="str">
        <f t="shared" si="5"/>
        <v>Global Tech</v>
      </c>
      <c r="F62" s="2" t="str">
        <f t="shared" si="6"/>
        <v>Canada</v>
      </c>
      <c r="G62" s="2" t="str">
        <f t="shared" si="7"/>
        <v>New</v>
      </c>
      <c r="H62" s="3">
        <f t="shared" si="8"/>
        <v>46115</v>
      </c>
      <c r="I62" s="3">
        <f t="shared" si="9"/>
        <v>46122</v>
      </c>
      <c r="J62" s="2" t="str">
        <f t="shared" si="10"/>
        <v>John</v>
      </c>
    </row>
    <row r="63">
      <c r="A63" s="2" t="str">
        <f t="shared" si="1"/>
        <v>CUST-062</v>
      </c>
      <c r="B63" s="2" t="str">
        <f t="shared" si="2"/>
        <v>Customer 062</v>
      </c>
      <c r="C63" s="2" t="str">
        <f t="shared" si="3"/>
        <v>customerCUST-062@gmail.com</v>
      </c>
      <c r="D63" s="2" t="str">
        <f t="shared" si="4"/>
        <v>9883601148</v>
      </c>
      <c r="E63" s="2" t="str">
        <f t="shared" si="5"/>
        <v>ABC Pvt Ltd</v>
      </c>
      <c r="F63" s="2" t="str">
        <f t="shared" si="6"/>
        <v>Nepal</v>
      </c>
      <c r="G63" s="2" t="str">
        <f t="shared" si="7"/>
        <v>Lost</v>
      </c>
      <c r="H63" s="3">
        <f t="shared" si="8"/>
        <v>46188</v>
      </c>
      <c r="I63" s="3">
        <f t="shared" si="9"/>
        <v>46195</v>
      </c>
      <c r="J63" s="2" t="str">
        <f t="shared" si="10"/>
        <v>Emma</v>
      </c>
    </row>
    <row r="64">
      <c r="A64" s="2" t="str">
        <f t="shared" si="1"/>
        <v>CUST-063</v>
      </c>
      <c r="B64" s="2" t="str">
        <f t="shared" si="2"/>
        <v>Customer 063</v>
      </c>
      <c r="C64" s="2" t="str">
        <f t="shared" si="3"/>
        <v>customerCUST-063@gmail.com</v>
      </c>
      <c r="D64" s="2" t="str">
        <f t="shared" si="4"/>
        <v>9831254847</v>
      </c>
      <c r="E64" s="2" t="str">
        <f t="shared" si="5"/>
        <v>Himalayan Foods</v>
      </c>
      <c r="F64" s="2" t="str">
        <f t="shared" si="6"/>
        <v>Nepal</v>
      </c>
      <c r="G64" s="2" t="str">
        <f t="shared" si="7"/>
        <v>New</v>
      </c>
      <c r="H64" s="3">
        <f t="shared" si="8"/>
        <v>46088</v>
      </c>
      <c r="I64" s="3">
        <f t="shared" si="9"/>
        <v>46095</v>
      </c>
      <c r="J64" s="2" t="str">
        <f t="shared" si="10"/>
        <v>Michael</v>
      </c>
    </row>
    <row r="65">
      <c r="A65" s="2" t="str">
        <f t="shared" si="1"/>
        <v>CUST-064</v>
      </c>
      <c r="B65" s="2" t="str">
        <f t="shared" si="2"/>
        <v>Customer 064</v>
      </c>
      <c r="C65" s="2" t="str">
        <f t="shared" si="3"/>
        <v>customerCUST-064@gmail.com</v>
      </c>
      <c r="D65" s="2" t="str">
        <f t="shared" si="4"/>
        <v>9873706885</v>
      </c>
      <c r="E65" s="2" t="str">
        <f t="shared" si="5"/>
        <v>Himalayan Foods</v>
      </c>
      <c r="F65" s="2" t="str">
        <f t="shared" si="6"/>
        <v>India</v>
      </c>
      <c r="G65" s="2" t="str">
        <f t="shared" si="7"/>
        <v>Contacted</v>
      </c>
      <c r="H65" s="3">
        <f t="shared" si="8"/>
        <v>46148</v>
      </c>
      <c r="I65" s="3">
        <f t="shared" si="9"/>
        <v>46155</v>
      </c>
      <c r="J65" s="2" t="str">
        <f t="shared" si="10"/>
        <v>Emma</v>
      </c>
    </row>
    <row r="66">
      <c r="A66" s="2" t="str">
        <f t="shared" si="1"/>
        <v>CUST-065</v>
      </c>
      <c r="B66" s="2" t="str">
        <f t="shared" si="2"/>
        <v>Customer 065</v>
      </c>
      <c r="C66" s="2" t="str">
        <f t="shared" si="3"/>
        <v>customerCUST-065@gmail.com</v>
      </c>
      <c r="D66" s="2" t="str">
        <f t="shared" si="4"/>
        <v>9866464742</v>
      </c>
      <c r="E66" s="2" t="str">
        <f t="shared" si="5"/>
        <v>Global Tech</v>
      </c>
      <c r="F66" s="2" t="str">
        <f t="shared" si="6"/>
        <v>Nepal</v>
      </c>
      <c r="G66" s="2" t="str">
        <f t="shared" si="7"/>
        <v>Won</v>
      </c>
      <c r="H66" s="3">
        <f t="shared" si="8"/>
        <v>46351</v>
      </c>
      <c r="I66" s="3">
        <f t="shared" si="9"/>
        <v>46358</v>
      </c>
      <c r="J66" s="2" t="str">
        <f t="shared" si="10"/>
        <v>Emma</v>
      </c>
    </row>
    <row r="67">
      <c r="A67" s="2" t="str">
        <f t="shared" si="1"/>
        <v>CUST-066</v>
      </c>
      <c r="B67" s="2" t="str">
        <f t="shared" si="2"/>
        <v>Customer 066</v>
      </c>
      <c r="C67" s="2" t="str">
        <f t="shared" si="3"/>
        <v>customerCUST-066@gmail.com</v>
      </c>
      <c r="D67" s="2" t="str">
        <f t="shared" si="4"/>
        <v>9858746775</v>
      </c>
      <c r="E67" s="2" t="str">
        <f t="shared" si="5"/>
        <v>Global Tech</v>
      </c>
      <c r="F67" s="2" t="str">
        <f t="shared" si="6"/>
        <v>Australia</v>
      </c>
      <c r="G67" s="2" t="str">
        <f t="shared" si="7"/>
        <v>Lost</v>
      </c>
      <c r="H67" s="3">
        <f t="shared" si="8"/>
        <v>46088</v>
      </c>
      <c r="I67" s="3">
        <f t="shared" si="9"/>
        <v>46095</v>
      </c>
      <c r="J67" s="2" t="str">
        <f t="shared" si="10"/>
        <v>Sarah</v>
      </c>
    </row>
    <row r="68">
      <c r="A68" s="2" t="str">
        <f t="shared" si="1"/>
        <v>CUST-067</v>
      </c>
      <c r="B68" s="2" t="str">
        <f t="shared" si="2"/>
        <v>Customer 067</v>
      </c>
      <c r="C68" s="2" t="str">
        <f t="shared" si="3"/>
        <v>customerCUST-067@gmail.com</v>
      </c>
      <c r="D68" s="2" t="str">
        <f t="shared" si="4"/>
        <v>9899560850</v>
      </c>
      <c r="E68" s="2" t="str">
        <f t="shared" si="5"/>
        <v>Global Tech</v>
      </c>
      <c r="F68" s="2" t="str">
        <f t="shared" si="6"/>
        <v>India</v>
      </c>
      <c r="G68" s="2" t="str">
        <f t="shared" si="7"/>
        <v>Won</v>
      </c>
      <c r="H68" s="3">
        <f t="shared" si="8"/>
        <v>46058</v>
      </c>
      <c r="I68" s="3">
        <f t="shared" si="9"/>
        <v>46065</v>
      </c>
      <c r="J68" s="2" t="str">
        <f t="shared" si="10"/>
        <v>Michael</v>
      </c>
    </row>
    <row r="69">
      <c r="A69" s="2" t="str">
        <f t="shared" si="1"/>
        <v>CUST-068</v>
      </c>
      <c r="B69" s="2" t="str">
        <f t="shared" si="2"/>
        <v>Customer 068</v>
      </c>
      <c r="C69" s="2" t="str">
        <f t="shared" si="3"/>
        <v>customerCUST-068@gmail.com</v>
      </c>
      <c r="D69" s="2" t="str">
        <f t="shared" si="4"/>
        <v>9876352061</v>
      </c>
      <c r="E69" s="2" t="str">
        <f t="shared" si="5"/>
        <v>Himalayan Foods</v>
      </c>
      <c r="F69" s="2" t="str">
        <f t="shared" si="6"/>
        <v>Canada</v>
      </c>
      <c r="G69" s="2" t="str">
        <f t="shared" si="7"/>
        <v>Lost</v>
      </c>
      <c r="H69" s="3">
        <f t="shared" si="8"/>
        <v>46237</v>
      </c>
      <c r="I69" s="3">
        <f t="shared" si="9"/>
        <v>46244</v>
      </c>
      <c r="J69" s="2" t="str">
        <f t="shared" si="10"/>
        <v>John</v>
      </c>
    </row>
    <row r="70">
      <c r="A70" s="2" t="str">
        <f t="shared" si="1"/>
        <v>CUST-069</v>
      </c>
      <c r="B70" s="2" t="str">
        <f t="shared" si="2"/>
        <v>Customer 069</v>
      </c>
      <c r="C70" s="2" t="str">
        <f t="shared" si="3"/>
        <v>customerCUST-069@gmail.com</v>
      </c>
      <c r="D70" s="2" t="str">
        <f t="shared" si="4"/>
        <v>9856807599</v>
      </c>
      <c r="E70" s="2" t="str">
        <f t="shared" si="5"/>
        <v>ABC Pvt Ltd</v>
      </c>
      <c r="F70" s="2" t="str">
        <f t="shared" si="6"/>
        <v>Canada</v>
      </c>
      <c r="G70" s="2" t="str">
        <f t="shared" si="7"/>
        <v>Won</v>
      </c>
      <c r="H70" s="3">
        <f t="shared" si="8"/>
        <v>46101</v>
      </c>
      <c r="I70" s="3">
        <f t="shared" si="9"/>
        <v>46108</v>
      </c>
      <c r="J70" s="2" t="str">
        <f t="shared" si="10"/>
        <v>Michael</v>
      </c>
    </row>
    <row r="71">
      <c r="A71" s="2" t="str">
        <f t="shared" si="1"/>
        <v>CUST-070</v>
      </c>
      <c r="B71" s="2" t="str">
        <f t="shared" si="2"/>
        <v>Customer 070</v>
      </c>
      <c r="C71" s="2" t="str">
        <f t="shared" si="3"/>
        <v>customerCUST-070@gmail.com</v>
      </c>
      <c r="D71" s="2" t="str">
        <f t="shared" si="4"/>
        <v>9892269038</v>
      </c>
      <c r="E71" s="2" t="str">
        <f t="shared" si="5"/>
        <v>Himalayan Foods</v>
      </c>
      <c r="F71" s="2" t="str">
        <f t="shared" si="6"/>
        <v>Canada</v>
      </c>
      <c r="G71" s="2" t="str">
        <f t="shared" si="7"/>
        <v>Lost</v>
      </c>
      <c r="H71" s="3">
        <f t="shared" si="8"/>
        <v>46098</v>
      </c>
      <c r="I71" s="3">
        <f t="shared" si="9"/>
        <v>46105</v>
      </c>
      <c r="J71" s="2" t="str">
        <f t="shared" si="10"/>
        <v>Emma</v>
      </c>
    </row>
    <row r="72">
      <c r="A72" s="2" t="str">
        <f t="shared" si="1"/>
        <v>CUST-071</v>
      </c>
      <c r="B72" s="2" t="str">
        <f t="shared" si="2"/>
        <v>Customer 071</v>
      </c>
      <c r="C72" s="2" t="str">
        <f t="shared" si="3"/>
        <v>customerCUST-071@gmail.com</v>
      </c>
      <c r="D72" s="2" t="str">
        <f t="shared" si="4"/>
        <v>9896350609</v>
      </c>
      <c r="E72" s="2" t="str">
        <f t="shared" si="5"/>
        <v>Himalayan Foods</v>
      </c>
      <c r="F72" s="2" t="str">
        <f t="shared" si="6"/>
        <v>Canada</v>
      </c>
      <c r="G72" s="2" t="str">
        <f t="shared" si="7"/>
        <v>Lost</v>
      </c>
      <c r="H72" s="3">
        <f t="shared" si="8"/>
        <v>46080</v>
      </c>
      <c r="I72" s="3">
        <f t="shared" si="9"/>
        <v>46087</v>
      </c>
      <c r="J72" s="2" t="str">
        <f t="shared" si="10"/>
        <v>John</v>
      </c>
    </row>
    <row r="73">
      <c r="A73" s="2" t="str">
        <f t="shared" si="1"/>
        <v>CUST-072</v>
      </c>
      <c r="B73" s="2" t="str">
        <f t="shared" si="2"/>
        <v>Customer 072</v>
      </c>
      <c r="C73" s="2" t="str">
        <f t="shared" si="3"/>
        <v>customerCUST-072@gmail.com</v>
      </c>
      <c r="D73" s="2" t="str">
        <f t="shared" si="4"/>
        <v>9852115110</v>
      </c>
      <c r="E73" s="2" t="str">
        <f t="shared" si="5"/>
        <v>ABC Pvt Ltd</v>
      </c>
      <c r="F73" s="2" t="str">
        <f t="shared" si="6"/>
        <v>USA</v>
      </c>
      <c r="G73" s="2" t="str">
        <f t="shared" si="7"/>
        <v>Lost</v>
      </c>
      <c r="H73" s="3">
        <f t="shared" si="8"/>
        <v>46329</v>
      </c>
      <c r="I73" s="3">
        <f t="shared" si="9"/>
        <v>46336</v>
      </c>
      <c r="J73" s="2" t="str">
        <f t="shared" si="10"/>
        <v>John</v>
      </c>
    </row>
    <row r="74">
      <c r="A74" s="2" t="str">
        <f t="shared" si="1"/>
        <v>CUST-073</v>
      </c>
      <c r="B74" s="2" t="str">
        <f t="shared" si="2"/>
        <v>Customer 073</v>
      </c>
      <c r="C74" s="2" t="str">
        <f t="shared" si="3"/>
        <v>customerCUST-073@gmail.com</v>
      </c>
      <c r="D74" s="2" t="str">
        <f t="shared" si="4"/>
        <v>9850454578</v>
      </c>
      <c r="E74" s="2" t="str">
        <f t="shared" si="5"/>
        <v>Himalayan Foods</v>
      </c>
      <c r="F74" s="2" t="str">
        <f t="shared" si="6"/>
        <v>Nepal</v>
      </c>
      <c r="G74" s="2" t="str">
        <f t="shared" si="7"/>
        <v>Contacted</v>
      </c>
      <c r="H74" s="3">
        <f t="shared" si="8"/>
        <v>46118</v>
      </c>
      <c r="I74" s="3">
        <f t="shared" si="9"/>
        <v>46125</v>
      </c>
      <c r="J74" s="2" t="str">
        <f t="shared" si="10"/>
        <v>Michael</v>
      </c>
    </row>
    <row r="75">
      <c r="A75" s="2" t="str">
        <f t="shared" si="1"/>
        <v>CUST-074</v>
      </c>
      <c r="B75" s="2" t="str">
        <f t="shared" si="2"/>
        <v>Customer 074</v>
      </c>
      <c r="C75" s="2" t="str">
        <f t="shared" si="3"/>
        <v>customerCUST-074@gmail.com</v>
      </c>
      <c r="D75" s="2" t="str">
        <f t="shared" si="4"/>
        <v>9869359199</v>
      </c>
      <c r="E75" s="2" t="str">
        <f t="shared" si="5"/>
        <v>Sky Solutions</v>
      </c>
      <c r="F75" s="2" t="str">
        <f t="shared" si="6"/>
        <v>Nepal</v>
      </c>
      <c r="G75" s="2" t="str">
        <f t="shared" si="7"/>
        <v>Contacted</v>
      </c>
      <c r="H75" s="3">
        <f t="shared" si="8"/>
        <v>46229</v>
      </c>
      <c r="I75" s="3">
        <f t="shared" si="9"/>
        <v>46236</v>
      </c>
      <c r="J75" s="2" t="str">
        <f t="shared" si="10"/>
        <v>Emma</v>
      </c>
    </row>
    <row r="76">
      <c r="A76" s="2" t="str">
        <f t="shared" si="1"/>
        <v>CUST-075</v>
      </c>
      <c r="B76" s="2" t="str">
        <f t="shared" si="2"/>
        <v>Customer 075</v>
      </c>
      <c r="C76" s="2" t="str">
        <f t="shared" si="3"/>
        <v>customerCUST-075@gmail.com</v>
      </c>
      <c r="D76" s="2" t="str">
        <f t="shared" si="4"/>
        <v>9857790913</v>
      </c>
      <c r="E76" s="2" t="str">
        <f t="shared" si="5"/>
        <v>Himalayan Foods</v>
      </c>
      <c r="F76" s="2" t="str">
        <f t="shared" si="6"/>
        <v>USA</v>
      </c>
      <c r="G76" s="2" t="str">
        <f t="shared" si="7"/>
        <v>Lost</v>
      </c>
      <c r="H76" s="3">
        <f t="shared" si="8"/>
        <v>46301</v>
      </c>
      <c r="I76" s="3">
        <f t="shared" si="9"/>
        <v>46308</v>
      </c>
      <c r="J76" s="2" t="str">
        <f t="shared" si="10"/>
        <v>Sarah</v>
      </c>
    </row>
    <row r="77">
      <c r="A77" s="2" t="str">
        <f t="shared" si="1"/>
        <v>CUST-076</v>
      </c>
      <c r="B77" s="2" t="str">
        <f t="shared" si="2"/>
        <v>Customer 076</v>
      </c>
      <c r="C77" s="2" t="str">
        <f t="shared" si="3"/>
        <v>customerCUST-076@gmail.com</v>
      </c>
      <c r="D77" s="2" t="str">
        <f t="shared" si="4"/>
        <v>9865615648</v>
      </c>
      <c r="E77" s="2" t="str">
        <f t="shared" si="5"/>
        <v>Sky Solutions</v>
      </c>
      <c r="F77" s="2" t="str">
        <f t="shared" si="6"/>
        <v>Nepal</v>
      </c>
      <c r="G77" s="2" t="str">
        <f t="shared" si="7"/>
        <v>Contacted</v>
      </c>
      <c r="H77" s="3">
        <f t="shared" si="8"/>
        <v>46145</v>
      </c>
      <c r="I77" s="3">
        <f t="shared" si="9"/>
        <v>46152</v>
      </c>
      <c r="J77" s="2" t="str">
        <f t="shared" si="10"/>
        <v>Michael</v>
      </c>
    </row>
    <row r="78">
      <c r="A78" s="2" t="str">
        <f t="shared" si="1"/>
        <v>CUST-077</v>
      </c>
      <c r="B78" s="2" t="str">
        <f t="shared" si="2"/>
        <v>Customer 077</v>
      </c>
      <c r="C78" s="2" t="str">
        <f t="shared" si="3"/>
        <v>customerCUST-077@gmail.com</v>
      </c>
      <c r="D78" s="2" t="str">
        <f t="shared" si="4"/>
        <v>9858400424</v>
      </c>
      <c r="E78" s="2" t="str">
        <f t="shared" si="5"/>
        <v>Global Tech</v>
      </c>
      <c r="F78" s="2" t="str">
        <f t="shared" si="6"/>
        <v>USA</v>
      </c>
      <c r="G78" s="2" t="str">
        <f t="shared" si="7"/>
        <v>New</v>
      </c>
      <c r="H78" s="3">
        <f t="shared" si="8"/>
        <v>46086</v>
      </c>
      <c r="I78" s="3">
        <f t="shared" si="9"/>
        <v>46093</v>
      </c>
      <c r="J78" s="2" t="str">
        <f t="shared" si="10"/>
        <v>David</v>
      </c>
    </row>
    <row r="79">
      <c r="A79" s="2" t="str">
        <f t="shared" si="1"/>
        <v>CUST-078</v>
      </c>
      <c r="B79" s="2" t="str">
        <f t="shared" si="2"/>
        <v>Customer 078</v>
      </c>
      <c r="C79" s="2" t="str">
        <f t="shared" si="3"/>
        <v>customerCUST-078@gmail.com</v>
      </c>
      <c r="D79" s="2" t="str">
        <f t="shared" si="4"/>
        <v>9864640370</v>
      </c>
      <c r="E79" s="2" t="str">
        <f t="shared" si="5"/>
        <v>Sky Solutions</v>
      </c>
      <c r="F79" s="2" t="str">
        <f t="shared" si="6"/>
        <v>Australia</v>
      </c>
      <c r="G79" s="2" t="str">
        <f t="shared" si="7"/>
        <v>Won</v>
      </c>
      <c r="H79" s="3">
        <f t="shared" si="8"/>
        <v>46104</v>
      </c>
      <c r="I79" s="3">
        <f t="shared" si="9"/>
        <v>46111</v>
      </c>
      <c r="J79" s="2" t="str">
        <f t="shared" si="10"/>
        <v>David</v>
      </c>
    </row>
    <row r="80">
      <c r="A80" s="2" t="str">
        <f t="shared" si="1"/>
        <v>CUST-079</v>
      </c>
      <c r="B80" s="2" t="str">
        <f t="shared" si="2"/>
        <v>Customer 079</v>
      </c>
      <c r="C80" s="2" t="str">
        <f t="shared" si="3"/>
        <v>customerCUST-079@gmail.com</v>
      </c>
      <c r="D80" s="2" t="str">
        <f t="shared" si="4"/>
        <v>9837305555</v>
      </c>
      <c r="E80" s="2" t="str">
        <f t="shared" si="5"/>
        <v>ABC Pvt Ltd</v>
      </c>
      <c r="F80" s="2" t="str">
        <f t="shared" si="6"/>
        <v>India</v>
      </c>
      <c r="G80" s="2" t="str">
        <f t="shared" si="7"/>
        <v>Won</v>
      </c>
      <c r="H80" s="3">
        <f t="shared" si="8"/>
        <v>46086</v>
      </c>
      <c r="I80" s="3">
        <f t="shared" si="9"/>
        <v>46093</v>
      </c>
      <c r="J80" s="2" t="str">
        <f t="shared" si="10"/>
        <v>Sarah</v>
      </c>
    </row>
    <row r="81">
      <c r="A81" s="2" t="str">
        <f t="shared" si="1"/>
        <v>CUST-080</v>
      </c>
      <c r="B81" s="2" t="str">
        <f t="shared" si="2"/>
        <v>Customer 080</v>
      </c>
      <c r="C81" s="2" t="str">
        <f t="shared" si="3"/>
        <v>customerCUST-080@gmail.com</v>
      </c>
      <c r="D81" s="2" t="str">
        <f t="shared" si="4"/>
        <v>9887008665</v>
      </c>
      <c r="E81" s="2" t="str">
        <f t="shared" si="5"/>
        <v>Sky Solutions</v>
      </c>
      <c r="F81" s="2" t="str">
        <f t="shared" si="6"/>
        <v>Canada</v>
      </c>
      <c r="G81" s="2" t="str">
        <f t="shared" si="7"/>
        <v>Contacted</v>
      </c>
      <c r="H81" s="3">
        <f t="shared" si="8"/>
        <v>46268</v>
      </c>
      <c r="I81" s="3">
        <f t="shared" si="9"/>
        <v>46275</v>
      </c>
      <c r="J81" s="2" t="str">
        <f t="shared" si="10"/>
        <v>Sarah</v>
      </c>
    </row>
    <row r="82">
      <c r="A82" s="2" t="str">
        <f t="shared" si="1"/>
        <v>CUST-081</v>
      </c>
      <c r="B82" s="2" t="str">
        <f t="shared" si="2"/>
        <v>Customer 081</v>
      </c>
      <c r="C82" s="2" t="str">
        <f t="shared" si="3"/>
        <v>customerCUST-081@gmail.com</v>
      </c>
      <c r="D82" s="2" t="str">
        <f t="shared" si="4"/>
        <v>9861977752</v>
      </c>
      <c r="E82" s="2" t="str">
        <f t="shared" si="5"/>
        <v>Himalayan Foods</v>
      </c>
      <c r="F82" s="2" t="str">
        <f t="shared" si="6"/>
        <v>USA</v>
      </c>
      <c r="G82" s="2" t="str">
        <f t="shared" si="7"/>
        <v>Contacted</v>
      </c>
      <c r="H82" s="3">
        <f t="shared" si="8"/>
        <v>46230</v>
      </c>
      <c r="I82" s="3">
        <f t="shared" si="9"/>
        <v>46237</v>
      </c>
      <c r="J82" s="2" t="str">
        <f t="shared" si="10"/>
        <v>Michael</v>
      </c>
    </row>
    <row r="83">
      <c r="A83" s="2" t="str">
        <f t="shared" si="1"/>
        <v>CUST-082</v>
      </c>
      <c r="B83" s="2" t="str">
        <f t="shared" si="2"/>
        <v>Customer 082</v>
      </c>
      <c r="C83" s="2" t="str">
        <f t="shared" si="3"/>
        <v>customerCUST-082@gmail.com</v>
      </c>
      <c r="D83" s="2" t="str">
        <f t="shared" si="4"/>
        <v>9893462955</v>
      </c>
      <c r="E83" s="2" t="str">
        <f t="shared" si="5"/>
        <v>Sky Solutions</v>
      </c>
      <c r="F83" s="2" t="str">
        <f t="shared" si="6"/>
        <v>USA</v>
      </c>
      <c r="G83" s="2" t="str">
        <f t="shared" si="7"/>
        <v>Contacted</v>
      </c>
      <c r="H83" s="3">
        <f t="shared" si="8"/>
        <v>46214</v>
      </c>
      <c r="I83" s="3">
        <f t="shared" si="9"/>
        <v>46221</v>
      </c>
      <c r="J83" s="2" t="str">
        <f t="shared" si="10"/>
        <v>Emma</v>
      </c>
    </row>
    <row r="84">
      <c r="A84" s="2" t="str">
        <f t="shared" si="1"/>
        <v>CUST-083</v>
      </c>
      <c r="B84" s="2" t="str">
        <f t="shared" si="2"/>
        <v>Customer 083</v>
      </c>
      <c r="C84" s="2" t="str">
        <f t="shared" si="3"/>
        <v>customerCUST-083@gmail.com</v>
      </c>
      <c r="D84" s="2" t="str">
        <f t="shared" si="4"/>
        <v>9817308796</v>
      </c>
      <c r="E84" s="2" t="str">
        <f t="shared" si="5"/>
        <v>Global Tech</v>
      </c>
      <c r="F84" s="2" t="str">
        <f t="shared" si="6"/>
        <v>Nepal</v>
      </c>
      <c r="G84" s="2" t="str">
        <f t="shared" si="7"/>
        <v>New</v>
      </c>
      <c r="H84" s="3">
        <f t="shared" si="8"/>
        <v>46174</v>
      </c>
      <c r="I84" s="3">
        <f t="shared" si="9"/>
        <v>46181</v>
      </c>
      <c r="J84" s="2" t="str">
        <f t="shared" si="10"/>
        <v>Sarah</v>
      </c>
    </row>
    <row r="85">
      <c r="A85" s="2" t="str">
        <f t="shared" si="1"/>
        <v>CUST-084</v>
      </c>
      <c r="B85" s="2" t="str">
        <f t="shared" si="2"/>
        <v>Customer 084</v>
      </c>
      <c r="C85" s="2" t="str">
        <f t="shared" si="3"/>
        <v>customerCUST-084@gmail.com</v>
      </c>
      <c r="D85" s="2" t="str">
        <f t="shared" si="4"/>
        <v>9816003756</v>
      </c>
      <c r="E85" s="2" t="str">
        <f t="shared" si="5"/>
        <v>Everest Traders</v>
      </c>
      <c r="F85" s="2" t="str">
        <f t="shared" si="6"/>
        <v>USA</v>
      </c>
      <c r="G85" s="2" t="str">
        <f t="shared" si="7"/>
        <v>Contacted</v>
      </c>
      <c r="H85" s="3">
        <f t="shared" si="8"/>
        <v>46214</v>
      </c>
      <c r="I85" s="3">
        <f t="shared" si="9"/>
        <v>46221</v>
      </c>
      <c r="J85" s="2" t="str">
        <f t="shared" si="10"/>
        <v>Sarah</v>
      </c>
    </row>
    <row r="86">
      <c r="A86" s="2" t="str">
        <f t="shared" si="1"/>
        <v>CUST-085</v>
      </c>
      <c r="B86" s="2" t="str">
        <f t="shared" si="2"/>
        <v>Customer 085</v>
      </c>
      <c r="C86" s="2" t="str">
        <f t="shared" si="3"/>
        <v>customerCUST-085@gmail.com</v>
      </c>
      <c r="D86" s="2" t="str">
        <f t="shared" si="4"/>
        <v>9873501465</v>
      </c>
      <c r="E86" s="2" t="str">
        <f t="shared" si="5"/>
        <v>Everest Traders</v>
      </c>
      <c r="F86" s="2" t="str">
        <f t="shared" si="6"/>
        <v>USA</v>
      </c>
      <c r="G86" s="2" t="str">
        <f t="shared" si="7"/>
        <v>Contacted</v>
      </c>
      <c r="H86" s="3">
        <f t="shared" si="8"/>
        <v>46176</v>
      </c>
      <c r="I86" s="3">
        <f t="shared" si="9"/>
        <v>46183</v>
      </c>
      <c r="J86" s="2" t="str">
        <f t="shared" si="10"/>
        <v>Emma</v>
      </c>
    </row>
    <row r="87">
      <c r="A87" s="2" t="str">
        <f t="shared" si="1"/>
        <v>CUST-086</v>
      </c>
      <c r="B87" s="2" t="str">
        <f t="shared" si="2"/>
        <v>Customer 086</v>
      </c>
      <c r="C87" s="2" t="str">
        <f t="shared" si="3"/>
        <v>customerCUST-086@gmail.com</v>
      </c>
      <c r="D87" s="2" t="str">
        <f t="shared" si="4"/>
        <v>9883648056</v>
      </c>
      <c r="E87" s="2" t="str">
        <f t="shared" si="5"/>
        <v>Everest Traders</v>
      </c>
      <c r="F87" s="2" t="str">
        <f t="shared" si="6"/>
        <v>Canada</v>
      </c>
      <c r="G87" s="2" t="str">
        <f t="shared" si="7"/>
        <v>Contacted</v>
      </c>
      <c r="H87" s="3">
        <f t="shared" si="8"/>
        <v>46344</v>
      </c>
      <c r="I87" s="3">
        <f t="shared" si="9"/>
        <v>46351</v>
      </c>
      <c r="J87" s="2" t="str">
        <f t="shared" si="10"/>
        <v>Michael</v>
      </c>
    </row>
    <row r="88">
      <c r="A88" s="2" t="str">
        <f t="shared" si="1"/>
        <v>CUST-087</v>
      </c>
      <c r="B88" s="2" t="str">
        <f t="shared" si="2"/>
        <v>Customer 087</v>
      </c>
      <c r="C88" s="2" t="str">
        <f t="shared" si="3"/>
        <v>customerCUST-087@gmail.com</v>
      </c>
      <c r="D88" s="2" t="str">
        <f t="shared" si="4"/>
        <v>9864777345</v>
      </c>
      <c r="E88" s="2" t="str">
        <f t="shared" si="5"/>
        <v>Sky Solutions</v>
      </c>
      <c r="F88" s="2" t="str">
        <f t="shared" si="6"/>
        <v>Nepal</v>
      </c>
      <c r="G88" s="2" t="str">
        <f t="shared" si="7"/>
        <v>Lost</v>
      </c>
      <c r="H88" s="3">
        <f t="shared" si="8"/>
        <v>46259</v>
      </c>
      <c r="I88" s="3">
        <f t="shared" si="9"/>
        <v>46266</v>
      </c>
      <c r="J88" s="2" t="str">
        <f t="shared" si="10"/>
        <v>John</v>
      </c>
    </row>
    <row r="89">
      <c r="A89" s="2" t="str">
        <f t="shared" si="1"/>
        <v>CUST-088</v>
      </c>
      <c r="B89" s="2" t="str">
        <f t="shared" si="2"/>
        <v>Customer 088</v>
      </c>
      <c r="C89" s="2" t="str">
        <f t="shared" si="3"/>
        <v>customerCUST-088@gmail.com</v>
      </c>
      <c r="D89" s="2" t="str">
        <f t="shared" si="4"/>
        <v>9895616544</v>
      </c>
      <c r="E89" s="2" t="str">
        <f t="shared" si="5"/>
        <v>Everest Traders</v>
      </c>
      <c r="F89" s="2" t="str">
        <f t="shared" si="6"/>
        <v>India</v>
      </c>
      <c r="G89" s="2" t="str">
        <f t="shared" si="7"/>
        <v>Lost</v>
      </c>
      <c r="H89" s="3">
        <f t="shared" si="8"/>
        <v>46188</v>
      </c>
      <c r="I89" s="3">
        <f t="shared" si="9"/>
        <v>46195</v>
      </c>
      <c r="J89" s="2" t="str">
        <f t="shared" si="10"/>
        <v>Emma</v>
      </c>
    </row>
    <row r="90">
      <c r="A90" s="2" t="str">
        <f t="shared" si="1"/>
        <v>CUST-089</v>
      </c>
      <c r="B90" s="2" t="str">
        <f t="shared" si="2"/>
        <v>Customer 089</v>
      </c>
      <c r="C90" s="2" t="str">
        <f t="shared" si="3"/>
        <v>customerCUST-089@gmail.com</v>
      </c>
      <c r="D90" s="2" t="str">
        <f t="shared" si="4"/>
        <v>9853171921</v>
      </c>
      <c r="E90" s="2" t="str">
        <f t="shared" si="5"/>
        <v>Everest Traders</v>
      </c>
      <c r="F90" s="2" t="str">
        <f t="shared" si="6"/>
        <v>India</v>
      </c>
      <c r="G90" s="2" t="str">
        <f t="shared" si="7"/>
        <v>Contacted</v>
      </c>
      <c r="H90" s="3">
        <f t="shared" si="8"/>
        <v>46361</v>
      </c>
      <c r="I90" s="3">
        <f t="shared" si="9"/>
        <v>46368</v>
      </c>
      <c r="J90" s="2" t="str">
        <f t="shared" si="10"/>
        <v>Emma</v>
      </c>
    </row>
    <row r="91">
      <c r="A91" s="2" t="str">
        <f t="shared" si="1"/>
        <v>CUST-090</v>
      </c>
      <c r="B91" s="2" t="str">
        <f t="shared" si="2"/>
        <v>Customer 090</v>
      </c>
      <c r="C91" s="2" t="str">
        <f t="shared" si="3"/>
        <v>customerCUST-090@gmail.com</v>
      </c>
      <c r="D91" s="2" t="str">
        <f t="shared" si="4"/>
        <v>9886786840</v>
      </c>
      <c r="E91" s="2" t="str">
        <f t="shared" si="5"/>
        <v>ABC Pvt Ltd</v>
      </c>
      <c r="F91" s="2" t="str">
        <f t="shared" si="6"/>
        <v>USA</v>
      </c>
      <c r="G91" s="2" t="str">
        <f t="shared" si="7"/>
        <v>Contacted</v>
      </c>
      <c r="H91" s="3">
        <f t="shared" si="8"/>
        <v>46348</v>
      </c>
      <c r="I91" s="3">
        <f t="shared" si="9"/>
        <v>46355</v>
      </c>
      <c r="J91" s="2" t="str">
        <f t="shared" si="10"/>
        <v>David</v>
      </c>
    </row>
    <row r="92">
      <c r="A92" s="2" t="str">
        <f t="shared" si="1"/>
        <v>CUST-091</v>
      </c>
      <c r="B92" s="2" t="str">
        <f t="shared" si="2"/>
        <v>Customer 091</v>
      </c>
      <c r="C92" s="2" t="str">
        <f t="shared" si="3"/>
        <v>customerCUST-091@gmail.com</v>
      </c>
      <c r="D92" s="2" t="str">
        <f t="shared" si="4"/>
        <v>9883404151</v>
      </c>
      <c r="E92" s="2" t="str">
        <f t="shared" si="5"/>
        <v>Everest Traders</v>
      </c>
      <c r="F92" s="2" t="str">
        <f t="shared" si="6"/>
        <v>USA</v>
      </c>
      <c r="G92" s="2" t="str">
        <f t="shared" si="7"/>
        <v>Won</v>
      </c>
      <c r="H92" s="3">
        <f t="shared" si="8"/>
        <v>46170</v>
      </c>
      <c r="I92" s="3">
        <f t="shared" si="9"/>
        <v>46177</v>
      </c>
      <c r="J92" s="2" t="str">
        <f t="shared" si="10"/>
        <v>Emma</v>
      </c>
    </row>
    <row r="93">
      <c r="A93" s="2" t="str">
        <f t="shared" si="1"/>
        <v>CUST-092</v>
      </c>
      <c r="B93" s="2" t="str">
        <f t="shared" si="2"/>
        <v>Customer 092</v>
      </c>
      <c r="C93" s="2" t="str">
        <f t="shared" si="3"/>
        <v>customerCUST-092@gmail.com</v>
      </c>
      <c r="D93" s="2" t="str">
        <f t="shared" si="4"/>
        <v>9896347163</v>
      </c>
      <c r="E93" s="2" t="str">
        <f t="shared" si="5"/>
        <v>Everest Traders</v>
      </c>
      <c r="F93" s="2" t="str">
        <f t="shared" si="6"/>
        <v>USA</v>
      </c>
      <c r="G93" s="2" t="str">
        <f t="shared" si="7"/>
        <v>Contacted</v>
      </c>
      <c r="H93" s="3">
        <f t="shared" si="8"/>
        <v>46191</v>
      </c>
      <c r="I93" s="3">
        <f t="shared" si="9"/>
        <v>46198</v>
      </c>
      <c r="J93" s="2" t="str">
        <f t="shared" si="10"/>
        <v>Sarah</v>
      </c>
    </row>
    <row r="94">
      <c r="A94" s="2" t="str">
        <f t="shared" si="1"/>
        <v>CUST-093</v>
      </c>
      <c r="B94" s="2" t="str">
        <f t="shared" si="2"/>
        <v>Customer 093</v>
      </c>
      <c r="C94" s="2" t="str">
        <f t="shared" si="3"/>
        <v>customerCUST-093@gmail.com</v>
      </c>
      <c r="D94" s="2" t="str">
        <f t="shared" si="4"/>
        <v>9894106037</v>
      </c>
      <c r="E94" s="2" t="str">
        <f t="shared" si="5"/>
        <v>Everest Traders</v>
      </c>
      <c r="F94" s="2" t="str">
        <f t="shared" si="6"/>
        <v>USA</v>
      </c>
      <c r="G94" s="2" t="str">
        <f t="shared" si="7"/>
        <v>Won</v>
      </c>
      <c r="H94" s="3">
        <f t="shared" si="8"/>
        <v>46243</v>
      </c>
      <c r="I94" s="3">
        <f t="shared" si="9"/>
        <v>46250</v>
      </c>
      <c r="J94" s="2" t="str">
        <f t="shared" si="10"/>
        <v>Michael</v>
      </c>
    </row>
    <row r="95">
      <c r="A95" s="2" t="str">
        <f t="shared" si="1"/>
        <v>CUST-094</v>
      </c>
      <c r="B95" s="2" t="str">
        <f t="shared" si="2"/>
        <v>Customer 094</v>
      </c>
      <c r="C95" s="2" t="str">
        <f t="shared" si="3"/>
        <v>customerCUST-094@gmail.com</v>
      </c>
      <c r="D95" s="2" t="str">
        <f t="shared" si="4"/>
        <v>9890518245</v>
      </c>
      <c r="E95" s="2" t="str">
        <f t="shared" si="5"/>
        <v>Himalayan Foods</v>
      </c>
      <c r="F95" s="2" t="str">
        <f t="shared" si="6"/>
        <v>Canada</v>
      </c>
      <c r="G95" s="2" t="str">
        <f t="shared" si="7"/>
        <v>Lost</v>
      </c>
      <c r="H95" s="3">
        <f t="shared" si="8"/>
        <v>46036</v>
      </c>
      <c r="I95" s="3">
        <f t="shared" si="9"/>
        <v>46043</v>
      </c>
      <c r="J95" s="2" t="str">
        <f t="shared" si="10"/>
        <v>Sarah</v>
      </c>
    </row>
    <row r="96">
      <c r="A96" s="2" t="str">
        <f t="shared" si="1"/>
        <v>CUST-095</v>
      </c>
      <c r="B96" s="2" t="str">
        <f t="shared" si="2"/>
        <v>Customer 095</v>
      </c>
      <c r="C96" s="2" t="str">
        <f t="shared" si="3"/>
        <v>customerCUST-095@gmail.com</v>
      </c>
      <c r="D96" s="2" t="str">
        <f t="shared" si="4"/>
        <v>9863094735</v>
      </c>
      <c r="E96" s="2" t="str">
        <f t="shared" si="5"/>
        <v>Global Tech</v>
      </c>
      <c r="F96" s="2" t="str">
        <f t="shared" si="6"/>
        <v>Nepal</v>
      </c>
      <c r="G96" s="2" t="str">
        <f t="shared" si="7"/>
        <v>Contacted</v>
      </c>
      <c r="H96" s="3">
        <f t="shared" si="8"/>
        <v>46243</v>
      </c>
      <c r="I96" s="3">
        <f t="shared" si="9"/>
        <v>46250</v>
      </c>
      <c r="J96" s="2" t="str">
        <f t="shared" si="10"/>
        <v>John</v>
      </c>
    </row>
    <row r="97">
      <c r="A97" s="2" t="str">
        <f t="shared" si="1"/>
        <v>CUST-096</v>
      </c>
      <c r="B97" s="2" t="str">
        <f t="shared" si="2"/>
        <v>Customer 096</v>
      </c>
      <c r="C97" s="2" t="str">
        <f t="shared" si="3"/>
        <v>customerCUST-096@gmail.com</v>
      </c>
      <c r="D97" s="2" t="str">
        <f t="shared" si="4"/>
        <v>9818326391</v>
      </c>
      <c r="E97" s="2" t="str">
        <f t="shared" si="5"/>
        <v>Everest Traders</v>
      </c>
      <c r="F97" s="2" t="str">
        <f t="shared" si="6"/>
        <v>Canada</v>
      </c>
      <c r="G97" s="2" t="str">
        <f t="shared" si="7"/>
        <v>New</v>
      </c>
      <c r="H97" s="3">
        <f t="shared" si="8"/>
        <v>46335</v>
      </c>
      <c r="I97" s="3">
        <f t="shared" si="9"/>
        <v>46342</v>
      </c>
      <c r="J97" s="2" t="str">
        <f t="shared" si="10"/>
        <v>Michael</v>
      </c>
    </row>
    <row r="98">
      <c r="A98" s="2" t="str">
        <f t="shared" si="1"/>
        <v>CUST-097</v>
      </c>
      <c r="B98" s="2" t="str">
        <f t="shared" si="2"/>
        <v>Customer 097</v>
      </c>
      <c r="C98" s="2" t="str">
        <f t="shared" si="3"/>
        <v>customerCUST-097@gmail.com</v>
      </c>
      <c r="D98" s="2" t="str">
        <f t="shared" si="4"/>
        <v>9841164369</v>
      </c>
      <c r="E98" s="2" t="str">
        <f t="shared" si="5"/>
        <v>Himalayan Foods</v>
      </c>
      <c r="F98" s="2" t="str">
        <f t="shared" si="6"/>
        <v>Nepal</v>
      </c>
      <c r="G98" s="2" t="str">
        <f t="shared" si="7"/>
        <v>Lost</v>
      </c>
      <c r="H98" s="3">
        <f t="shared" si="8"/>
        <v>46144</v>
      </c>
      <c r="I98" s="3">
        <f t="shared" si="9"/>
        <v>46151</v>
      </c>
      <c r="J98" s="2" t="str">
        <f t="shared" si="10"/>
        <v>Michael</v>
      </c>
    </row>
    <row r="99">
      <c r="A99" s="2" t="str">
        <f t="shared" si="1"/>
        <v>CUST-098</v>
      </c>
      <c r="B99" s="2" t="str">
        <f t="shared" si="2"/>
        <v>Customer 098</v>
      </c>
      <c r="C99" s="2" t="str">
        <f t="shared" si="3"/>
        <v>customerCUST-098@gmail.com</v>
      </c>
      <c r="D99" s="2" t="str">
        <f t="shared" si="4"/>
        <v>9817084453</v>
      </c>
      <c r="E99" s="2" t="str">
        <f t="shared" si="5"/>
        <v>Sky Solutions</v>
      </c>
      <c r="F99" s="2" t="str">
        <f t="shared" si="6"/>
        <v>USA</v>
      </c>
      <c r="G99" s="2" t="str">
        <f t="shared" si="7"/>
        <v>New</v>
      </c>
      <c r="H99" s="3">
        <f t="shared" si="8"/>
        <v>46314</v>
      </c>
      <c r="I99" s="3">
        <f t="shared" si="9"/>
        <v>46321</v>
      </c>
      <c r="J99" s="2" t="str">
        <f t="shared" si="10"/>
        <v>Sarah</v>
      </c>
    </row>
    <row r="100">
      <c r="A100" s="2" t="str">
        <f t="shared" si="1"/>
        <v>CUST-099</v>
      </c>
      <c r="B100" s="2" t="str">
        <f t="shared" si="2"/>
        <v>Customer 099</v>
      </c>
      <c r="C100" s="2" t="str">
        <f t="shared" si="3"/>
        <v>customerCUST-099@gmail.com</v>
      </c>
      <c r="D100" s="2" t="str">
        <f t="shared" si="4"/>
        <v>9849647010</v>
      </c>
      <c r="E100" s="2" t="str">
        <f t="shared" si="5"/>
        <v>Sky Solutions</v>
      </c>
      <c r="F100" s="2" t="str">
        <f t="shared" si="6"/>
        <v>Nepal</v>
      </c>
      <c r="G100" s="2" t="str">
        <f t="shared" si="7"/>
        <v>Won</v>
      </c>
      <c r="H100" s="3">
        <f t="shared" si="8"/>
        <v>46292</v>
      </c>
      <c r="I100" s="3">
        <f t="shared" si="9"/>
        <v>46299</v>
      </c>
      <c r="J100" s="2" t="str">
        <f t="shared" si="10"/>
        <v>David</v>
      </c>
    </row>
    <row r="101">
      <c r="A101" s="2" t="str">
        <f t="shared" si="1"/>
        <v>CUST-100</v>
      </c>
      <c r="B101" s="2" t="str">
        <f t="shared" si="2"/>
        <v>Customer 100</v>
      </c>
      <c r="C101" s="2" t="str">
        <f t="shared" si="3"/>
        <v>customerCUST-100@gmail.com</v>
      </c>
      <c r="D101" s="2" t="str">
        <f t="shared" si="4"/>
        <v>9812378231</v>
      </c>
      <c r="E101" s="2" t="str">
        <f t="shared" si="5"/>
        <v>Sky Solutions</v>
      </c>
      <c r="F101" s="2" t="str">
        <f t="shared" si="6"/>
        <v>India</v>
      </c>
      <c r="G101" s="2" t="str">
        <f t="shared" si="7"/>
        <v>Lost</v>
      </c>
      <c r="H101" s="3">
        <f t="shared" si="8"/>
        <v>46125</v>
      </c>
      <c r="I101" s="3">
        <f t="shared" si="9"/>
        <v>46132</v>
      </c>
      <c r="J101" s="2" t="str">
        <f t="shared" si="10"/>
        <v>Michael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63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63"/>
    <col customWidth="1" min="3" max="3" width="15.0"/>
    <col customWidth="1" min="5" max="5" width="15.0"/>
    <col customWidth="1" min="7" max="7" width="15.88"/>
  </cols>
  <sheetData>
    <row r="1">
      <c r="A1" s="4" t="s">
        <v>17</v>
      </c>
    </row>
    <row r="2">
      <c r="A2" s="5"/>
      <c r="B2" s="5"/>
      <c r="C2" s="5"/>
      <c r="D2" s="5"/>
      <c r="E2" s="5"/>
      <c r="F2" s="5"/>
      <c r="G2" s="5"/>
    </row>
    <row r="3">
      <c r="A3" s="6" t="s">
        <v>18</v>
      </c>
      <c r="B3" s="7"/>
      <c r="C3" s="6" t="s">
        <v>19</v>
      </c>
      <c r="D3" s="7"/>
      <c r="E3" s="6" t="s">
        <v>20</v>
      </c>
      <c r="F3" s="7"/>
      <c r="G3" s="6" t="s">
        <v>21</v>
      </c>
    </row>
    <row r="4">
      <c r="A4" s="8">
        <v>100.0</v>
      </c>
      <c r="B4" s="9"/>
      <c r="C4" s="10">
        <f t="array" ref="C4">INDEX('Customers by Lead Status'!B:B,MATCH("New",'Customers by Lead Status'!A:A,0))</f>
        <v>19</v>
      </c>
      <c r="D4" s="9"/>
      <c r="E4" s="8">
        <f t="array" ref="E4">INDEX('Customers by Lead Status'!B:B,MATCH("Won",'Customers by Lead Status'!A:A,0))</f>
        <v>24</v>
      </c>
      <c r="F4" s="9"/>
      <c r="G4" s="11" t="str">
        <f t="array" ref="G4">INDEX('Customers by Country'!A2:A6,MATCH(MAX('Customers by Country'!B2:B6),'Customers by Country'!B2:B6,0))&amp;" ("&amp;MAX('Customers by Country'!B2:B6)&amp;")"</f>
        <v>USA (24)</v>
      </c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63"/>
  </cols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63"/>
  </cols>
  <sheetData>
    <row r="1"/>
    <row r="2"/>
    <row r="3"/>
    <row r="4"/>
    <row r="5"/>
    <row r="6"/>
    <row r="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63"/>
  </cols>
  <sheetData>
    <row r="1"/>
    <row r="2"/>
    <row r="3"/>
    <row r="4"/>
    <row r="5"/>
    <row r="6"/>
  </sheetData>
  <drawing r:id="rId2"/>
</worksheet>
</file>