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mployee_Data" sheetId="1" r:id="rId5"/>
    <sheet state="visible" name="Employees by City" sheetId="2" r:id="rId6"/>
    <sheet state="visible" name="Dashboard" sheetId="3" r:id="rId7"/>
    <sheet state="visible" name="Employees by performance" sheetId="4" r:id="rId8"/>
    <sheet state="visible" name="Average Attendance by Departmen" sheetId="5" r:id="rId9"/>
    <sheet state="visible" name="Average Salary by Department" sheetId="6" r:id="rId10"/>
    <sheet state="visible" name="Employees by Gender" sheetId="7" r:id="rId11"/>
    <sheet state="visible" name="Employees by department" sheetId="8" r:id="rId12"/>
  </sheets>
  <definedNames/>
  <calcPr/>
  <pivotCaches>
    <pivotCache cacheId="0" r:id="rId13"/>
  </pivotCaches>
</workbook>
</file>

<file path=xl/sharedStrings.xml><?xml version="1.0" encoding="utf-8"?>
<sst xmlns="http://schemas.openxmlformats.org/spreadsheetml/2006/main" count="67" uniqueCount="37">
  <si>
    <t>Employee ID</t>
  </si>
  <si>
    <t>Employee Name</t>
  </si>
  <si>
    <t>Department</t>
  </si>
  <si>
    <t>Position</t>
  </si>
  <si>
    <t>Gender</t>
  </si>
  <si>
    <t>Salary</t>
  </si>
  <si>
    <t>Attendance %</t>
  </si>
  <si>
    <t>Performance</t>
  </si>
  <si>
    <t>Experience (Years)</t>
  </si>
  <si>
    <t>City</t>
  </si>
  <si>
    <t xml:space="preserve"> </t>
  </si>
  <si>
    <t>COUNTA of Employee ID</t>
  </si>
  <si>
    <t>Biratnagar</t>
  </si>
  <si>
    <t>Butwal</t>
  </si>
  <si>
    <t>Jhapa</t>
  </si>
  <si>
    <t>Kathmandu</t>
  </si>
  <si>
    <t>Pokhara</t>
  </si>
  <si>
    <t>HR Dashboard</t>
  </si>
  <si>
    <t>Total Employees</t>
  </si>
  <si>
    <t>Average Salary</t>
  </si>
  <si>
    <t>Average Attendance</t>
  </si>
  <si>
    <t>Top Department</t>
  </si>
  <si>
    <t>IT</t>
  </si>
  <si>
    <t>Grand Total</t>
  </si>
  <si>
    <t>Average</t>
  </si>
  <si>
    <t>Below Average</t>
  </si>
  <si>
    <t>Excellent</t>
  </si>
  <si>
    <t>Good</t>
  </si>
  <si>
    <t>Outstanding</t>
  </si>
  <si>
    <t>AVERAGE of Attendance %</t>
  </si>
  <si>
    <t>FINANCE</t>
  </si>
  <si>
    <t>HR</t>
  </si>
  <si>
    <t>MARKETING</t>
  </si>
  <si>
    <t>SALES</t>
  </si>
  <si>
    <t>AVERAGE of Salary</t>
  </si>
  <si>
    <t>Female</t>
  </si>
  <si>
    <t>Male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</si>
</sst>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Rs]#,##0.00"/>
    <numFmt numFmtId="165" formatCode="#,##0.0"/>
  </numFmts>
  <fonts count="10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  <font>
      <b/>
      <sz val="18.0"/>
      <color theme="1"/>
      <name val="Arial"/>
      <scheme val="minor"/>
    </font>
    <font>
      <b/>
      <color theme="1"/>
      <name val="Arial"/>
      <scheme val="minor"/>
    </font>
    <font>
      <sz val="16.0"/>
      <color theme="1"/>
      <name val="Arial"/>
      <scheme val="minor"/>
    </font>
    <font>
      <i/>
      <color theme="1"/>
      <name val="Arial"/>
    </font>
    <font>
      <color rgb="FFFFFFFF"/>
      <name val="Arial"/>
    </font>
    <font>
      <color theme="1"/>
      <name val="Arial"/>
    </font>
    <font>
      <b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DFE4EC"/>
        <bgColor rgb="FFDFE4EC"/>
      </patternFill>
    </fill>
    <fill>
      <patternFill patternType="solid">
        <fgColor rgb="FF8093B3"/>
        <bgColor rgb="FF8093B3"/>
      </patternFill>
    </fill>
    <fill>
      <patternFill patternType="solid">
        <fgColor rgb="FFF4F6F8"/>
        <bgColor rgb="FFF4F6F8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ck">
        <color rgb="FF8093B3"/>
      </bottom>
    </border>
    <border>
      <right style="thin">
        <color rgb="FFFFFFFF"/>
      </right>
    </border>
    <border>
      <top style="double">
        <color rgb="FF000000"/>
      </top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horizontal="left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horizontal="center" readingOrder="0"/>
    </xf>
    <xf borderId="1" fillId="2" fontId="4" numFmtId="0" xfId="0" applyAlignment="1" applyBorder="1" applyFill="1" applyFont="1">
      <alignment horizontal="center" readingOrder="0" shrinkToFit="0" vertical="center" wrapText="1"/>
    </xf>
    <xf borderId="0" fillId="0" fontId="4" numFmtId="0" xfId="0" applyFont="1"/>
    <xf borderId="1" fillId="2" fontId="4" numFmtId="0" xfId="0" applyAlignment="1" applyBorder="1" applyFont="1">
      <alignment horizontal="center" readingOrder="0" vertical="center"/>
    </xf>
    <xf borderId="1" fillId="2" fontId="5" numFmtId="0" xfId="0" applyAlignment="1" applyBorder="1" applyFont="1">
      <alignment horizontal="center" readingOrder="0" vertical="center"/>
    </xf>
    <xf borderId="1" fillId="2" fontId="5" numFmtId="164" xfId="0" applyAlignment="1" applyBorder="1" applyFont="1" applyNumberFormat="1">
      <alignment horizontal="center" readingOrder="0" shrinkToFit="0" vertical="center" wrapText="1"/>
    </xf>
    <xf borderId="1" fillId="2" fontId="5" numFmtId="0" xfId="0" applyAlignment="1" applyBorder="1" applyFont="1">
      <alignment horizontal="center" vertical="center"/>
    </xf>
    <xf borderId="2" fillId="2" fontId="6" numFmtId="0" xfId="0" applyAlignment="1" applyBorder="1" applyFont="1">
      <alignment vertical="bottom"/>
    </xf>
    <xf borderId="2" fillId="3" fontId="7" numFmtId="0" xfId="0" applyAlignment="1" applyBorder="1" applyFill="1" applyFont="1">
      <alignment vertical="bottom"/>
    </xf>
    <xf borderId="3" fillId="4" fontId="8" numFmtId="0" xfId="0" applyAlignment="1" applyBorder="1" applyFill="1" applyFont="1">
      <alignment vertical="bottom"/>
    </xf>
    <xf borderId="0" fillId="5" fontId="8" numFmtId="0" xfId="0" applyAlignment="1" applyFill="1" applyFont="1">
      <alignment horizontal="right" vertical="bottom"/>
    </xf>
    <xf borderId="4" fillId="2" fontId="9" numFmtId="0" xfId="0" applyAlignment="1" applyBorder="1" applyFont="1">
      <alignment vertical="bottom"/>
    </xf>
    <xf borderId="4" fillId="2" fontId="9" numFmtId="0" xfId="0" applyAlignment="1" applyBorder="1" applyFont="1">
      <alignment horizontal="right" vertical="bottom"/>
    </xf>
    <xf borderId="0" fillId="0" fontId="2" numFmtId="1" xfId="0" applyFont="1" applyNumberFormat="1"/>
    <xf borderId="0" fillId="0" fontId="2" numFmtId="4" xfId="0" applyFont="1" applyNumberFormat="1"/>
    <xf borderId="0" fillId="0" fontId="2" numFmtId="165" xfId="0" applyFont="1" applyNumberFormat="1"/>
    <xf borderId="0" fillId="0" fontId="2" numFmtId="3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Employees by City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'Employees by City'!$B$1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'Employees by City'!$A$2:$A$6</c:f>
            </c:strRef>
          </c:cat>
          <c:val>
            <c:numRef>
              <c:f>'Employees by City'!$B$2:$B$6</c:f>
              <c:numCache/>
            </c:numRef>
          </c:val>
        </c:ser>
        <c:axId val="1771495190"/>
        <c:axId val="1898177313"/>
      </c:barChart>
      <c:catAx>
        <c:axId val="177149519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City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98177313"/>
      </c:catAx>
      <c:valAx>
        <c:axId val="189817731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COUNTA of Employee ID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7149519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Employees by Department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'Employees by department'!$B$1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'Employees by department'!$A$2:$A$6</c:f>
            </c:strRef>
          </c:cat>
          <c:val>
            <c:numRef>
              <c:f>'Employees by department'!$B$2:$B$6</c:f>
              <c:numCache/>
            </c:numRef>
          </c:val>
        </c:ser>
        <c:axId val="1621429893"/>
        <c:axId val="1796446052"/>
      </c:barChart>
      <c:catAx>
        <c:axId val="162142989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Department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96446052"/>
      </c:catAx>
      <c:valAx>
        <c:axId val="179644605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COUNTA of Employee ID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2142989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Performance Distribution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'Employees by performance'!$B$1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'Employees by performance'!$A$2:$A$6</c:f>
            </c:strRef>
          </c:cat>
          <c:val>
            <c:numRef>
              <c:f>'Employees by performance'!$B$2:$B$6</c:f>
              <c:numCache/>
            </c:numRef>
          </c:val>
        </c:ser>
        <c:axId val="1910914514"/>
        <c:axId val="227591012"/>
      </c:barChart>
      <c:catAx>
        <c:axId val="191091451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Performance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27591012"/>
      </c:catAx>
      <c:valAx>
        <c:axId val="22759101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COUNTA of Employee ID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1091451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Employees by Gender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'Employees by Gender'!$B$1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'Employees by Gender'!$A$2:$A$3</c:f>
            </c:strRef>
          </c:cat>
          <c:val>
            <c:numRef>
              <c:f>'Employees by Gender'!$B$2:$B$3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Employees by City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'Employees by City'!$B$1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'Employees by City'!$A$2:$A$6</c:f>
            </c:strRef>
          </c:cat>
          <c:val>
            <c:numRef>
              <c:f>'Employees by City'!$B$2:$B$6</c:f>
              <c:numCache/>
            </c:numRef>
          </c:val>
        </c:ser>
        <c:axId val="1819405550"/>
        <c:axId val="1752790731"/>
      </c:barChart>
      <c:catAx>
        <c:axId val="181940555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City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52790731"/>
      </c:catAx>
      <c:valAx>
        <c:axId val="175279073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COUNTA of Employee ID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1940555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Average Attendance by Department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'Average Attendance by Departmen'!$B$1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'Average Attendance by Departmen'!$A$2:$A$6</c:f>
            </c:strRef>
          </c:cat>
          <c:val>
            <c:numRef>
              <c:f>'Average Attendance by Departmen'!$B$2:$B$6</c:f>
              <c:numCache/>
            </c:numRef>
          </c:val>
        </c:ser>
        <c:axId val="1221125191"/>
        <c:axId val="2019839743"/>
      </c:barChart>
      <c:catAx>
        <c:axId val="12211251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Department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19839743"/>
      </c:catAx>
      <c:valAx>
        <c:axId val="201983974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AVERAGE of Attendance %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2112519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Employee by Performance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'Employees by performance'!$B$1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'Employees by performance'!$A$2:$A$6</c:f>
            </c:strRef>
          </c:cat>
          <c:val>
            <c:numRef>
              <c:f>'Employees by performance'!$B$2:$B$6</c:f>
              <c:numCache/>
            </c:numRef>
          </c:val>
        </c:ser>
        <c:axId val="796055715"/>
        <c:axId val="695493834"/>
      </c:barChart>
      <c:catAx>
        <c:axId val="7960557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Performance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95493834"/>
      </c:catAx>
      <c:valAx>
        <c:axId val="69549383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COUNTA of Employee ID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9605571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Average Attendance by Department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'Average Attendance by Departmen'!$B$1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'Average Attendance by Departmen'!$A$2:$A$6</c:f>
            </c:strRef>
          </c:cat>
          <c:val>
            <c:numRef>
              <c:f>'Average Attendance by Departmen'!$B$2:$B$6</c:f>
              <c:numCache/>
            </c:numRef>
          </c:val>
        </c:ser>
        <c:axId val="421643721"/>
        <c:axId val="653799357"/>
      </c:barChart>
      <c:catAx>
        <c:axId val="42164372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Department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53799357"/>
      </c:catAx>
      <c:valAx>
        <c:axId val="65379935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AVERAGE of Attendance %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2164372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Employees by Gender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'Employees by Gender'!$B$1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'Employees by Gender'!$A$2:$A$3</c:f>
            </c:strRef>
          </c:cat>
          <c:val>
            <c:numRef>
              <c:f>'Employees by Gender'!$B$2:$B$3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Employees by Department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'Employees by department'!$B$1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'Employees by department'!$A$2:$A$6</c:f>
            </c:strRef>
          </c:cat>
          <c:val>
            <c:numRef>
              <c:f>'Employees by department'!$B$2:$B$6</c:f>
              <c:numCache/>
            </c:numRef>
          </c:val>
        </c:ser>
        <c:axId val="2056223438"/>
        <c:axId val="1549227906"/>
      </c:barChart>
      <c:catAx>
        <c:axId val="205622343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Department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49227906"/>
      </c:catAx>
      <c:valAx>
        <c:axId val="154922790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COUNTA of Employee ID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5622343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Relationship Id="rId3" Type="http://schemas.openxmlformats.org/officeDocument/2006/relationships/chart" Target="../charts/chart4.xml"/><Relationship Id="rId4" Type="http://schemas.openxmlformats.org/officeDocument/2006/relationships/chart" Target="../charts/chart5.xml"/><Relationship Id="rId5" Type="http://schemas.openxmlformats.org/officeDocument/2006/relationships/chart" Target="../charts/char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323850</xdr:colOff>
      <xdr:row>2</xdr:row>
      <xdr:rowOff>85725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5</xdr:row>
      <xdr:rowOff>200025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114300</xdr:colOff>
      <xdr:row>24</xdr:row>
      <xdr:rowOff>200025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6</xdr:col>
      <xdr:colOff>628650</xdr:colOff>
      <xdr:row>6</xdr:row>
      <xdr:rowOff>0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6</xdr:col>
      <xdr:colOff>628650</xdr:colOff>
      <xdr:row>24</xdr:row>
      <xdr:rowOff>190500</xdr:rowOff>
    </xdr:from>
    <xdr:ext cx="5715000" cy="35337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0</xdr:col>
      <xdr:colOff>114300</xdr:colOff>
      <xdr:row>43</xdr:row>
      <xdr:rowOff>171450</xdr:rowOff>
    </xdr:from>
    <xdr:ext cx="5715000" cy="35337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114300</xdr:colOff>
      <xdr:row>2</xdr:row>
      <xdr:rowOff>0</xdr:rowOff>
    </xdr:from>
    <xdr:ext cx="5715000" cy="353377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114300</xdr:colOff>
      <xdr:row>2</xdr:row>
      <xdr:rowOff>28575</xdr:rowOff>
    </xdr:from>
    <xdr:ext cx="5715000" cy="3533775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3</xdr:row>
      <xdr:rowOff>180975</xdr:rowOff>
    </xdr:from>
    <xdr:ext cx="5715000" cy="3533775"/>
    <xdr:graphicFrame>
      <xdr:nvGraphicFramePr>
        <xdr:cNvPr id="9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114300</xdr:colOff>
      <xdr:row>1</xdr:row>
      <xdr:rowOff>200025</xdr:rowOff>
    </xdr:from>
    <xdr:ext cx="5715000" cy="3533775"/>
    <xdr:graphicFrame>
      <xdr:nvGraphicFramePr>
        <xdr:cNvPr id="10" name="Chart 1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J101" sheet="Employee_Data"/>
  </cacheSource>
  <cacheFields>
    <cacheField name="Employee ID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  <n v="73.0"/>
        <n v="74.0"/>
        <n v="75.0"/>
        <n v="76.0"/>
        <n v="77.0"/>
        <n v="78.0"/>
        <n v="79.0"/>
        <n v="80.0"/>
        <n v="81.0"/>
        <n v="82.0"/>
        <n v="83.0"/>
        <n v="84.0"/>
        <n v="85.0"/>
        <n v="86.0"/>
        <n v="87.0"/>
        <n v="88.0"/>
        <n v="89.0"/>
        <n v="90.0"/>
        <n v="91.0"/>
        <n v="92.0"/>
        <n v="93.0"/>
        <n v="94.0"/>
        <n v="95.0"/>
        <n v="96.0"/>
        <n v="97.0"/>
        <n v="98.0"/>
        <n v="99.0"/>
        <n v="100.0"/>
      </sharedItems>
    </cacheField>
    <cacheField name="Employee Name" numFmtId="0">
      <sharedItems>
        <s v="EMPLOYEE 1"/>
        <s v="EMPLOYEE 2"/>
        <s v="EMPLOYEE 3"/>
        <s v="EMPLOYEE 4"/>
        <s v="EMPLOYEE 5"/>
        <s v="EMPLOYEE 6"/>
        <s v="EMPLOYEE 7"/>
        <s v="EMPLOYEE 8"/>
        <s v="EMPLOYEE 9"/>
        <s v="EMPLOYEE 10"/>
        <s v="EMPLOYEE 11"/>
        <s v="EMPLOYEE 12"/>
        <s v="EMPLOYEE 13"/>
        <s v="EMPLOYEE 14"/>
        <s v="EMPLOYEE 15"/>
        <s v="EMPLOYEE 16"/>
        <s v="EMPLOYEE 17"/>
        <s v="EMPLOYEE 18"/>
        <s v="EMPLOYEE 19"/>
        <s v="EMPLOYEE 20"/>
        <s v="EMPLOYEE 21"/>
        <s v="EMPLOYEE 22"/>
        <s v="EMPLOYEE 23"/>
        <s v="EMPLOYEE 24"/>
        <s v="EMPLOYEE 25"/>
        <s v="EMPLOYEE 26"/>
        <s v="EMPLOYEE 27"/>
        <s v="EMPLOYEE 28"/>
        <s v="EMPLOYEE 29"/>
        <s v="EMPLOYEE 30"/>
        <s v="EMPLOYEE 31"/>
        <s v="EMPLOYEE 32"/>
        <s v="EMPLOYEE 33"/>
        <s v="EMPLOYEE 34"/>
        <s v="EMPLOYEE 35"/>
        <s v="EMPLOYEE 36"/>
        <s v="EMPLOYEE 37"/>
        <s v="EMPLOYEE 38"/>
        <s v="EMPLOYEE 39"/>
        <s v="EMPLOYEE 40"/>
        <s v="EMPLOYEE 41"/>
        <s v="EMPLOYEE 42"/>
        <s v="EMPLOYEE 43"/>
        <s v="EMPLOYEE 44"/>
        <s v="EMPLOYEE 45"/>
        <s v="EMPLOYEE 46"/>
        <s v="EMPLOYEE 47"/>
        <s v="EMPLOYEE 48"/>
        <s v="EMPLOYEE 49"/>
        <s v="EMPLOYEE 50"/>
        <s v="EMPLOYEE 51"/>
        <s v="EMPLOYEE 52"/>
        <s v="EMPLOYEE 53"/>
        <s v="EMPLOYEE 54"/>
        <s v="EMPLOYEE 55"/>
        <s v="EMPLOYEE 56"/>
        <s v="EMPLOYEE 57"/>
        <s v="EMPLOYEE 58"/>
        <s v="EMPLOYEE 59"/>
        <s v="EMPLOYEE 60"/>
        <s v="EMPLOYEE 61"/>
        <s v="EMPLOYEE 62"/>
        <s v="EMPLOYEE 63"/>
        <s v="EMPLOYEE 64"/>
        <s v="EMPLOYEE 65"/>
        <s v="EMPLOYEE 66"/>
        <s v="EMPLOYEE 67"/>
        <s v="EMPLOYEE 68"/>
        <s v="EMPLOYEE 69"/>
        <s v="EMPLOYEE 70"/>
        <s v="EMPLOYEE 71"/>
        <s v="EMPLOYEE 72"/>
        <s v="EMPLOYEE 73"/>
        <s v="EMPLOYEE 74"/>
        <s v="EMPLOYEE 75"/>
        <s v="EMPLOYEE 76"/>
        <s v="EMPLOYEE 77"/>
        <s v="EMPLOYEE 78"/>
        <s v="EMPLOYEE 79"/>
        <s v="EMPLOYEE 80"/>
        <s v="EMPLOYEE 81"/>
        <s v="EMPLOYEE 82"/>
        <s v="EMPLOYEE 83"/>
        <s v="EMPLOYEE 84"/>
        <s v="EMPLOYEE 85"/>
        <s v="EMPLOYEE 86"/>
        <s v="EMPLOYEE 87"/>
        <s v="EMPLOYEE 88"/>
        <s v="EMPLOYEE 89"/>
        <s v="EMPLOYEE 90"/>
        <s v="EMPLOYEE 91"/>
        <s v="EMPLOYEE 92"/>
        <s v="EMPLOYEE 93"/>
        <s v="EMPLOYEE 94"/>
        <s v="EMPLOYEE 95"/>
        <s v="EMPLOYEE 96"/>
        <s v="EMPLOYEE 97"/>
        <s v="EMPLOYEE 98"/>
        <s v="EMPLOYEE 99"/>
        <s v="EMPLOYEE 100"/>
      </sharedItems>
    </cacheField>
    <cacheField name="Department" numFmtId="0">
      <sharedItems>
        <s v="FINANCE"/>
        <s v="SALES"/>
        <s v="IT"/>
        <s v="MARKETING"/>
        <s v="HR"/>
      </sharedItems>
    </cacheField>
    <cacheField name="Position" numFmtId="0">
      <sharedItems>
        <s v="Manager"/>
        <s v="Analyst"/>
        <s v="Executive"/>
        <s v="Assistant"/>
        <s v="Officer"/>
      </sharedItems>
    </cacheField>
    <cacheField name="Gender" numFmtId="0">
      <sharedItems>
        <s v="Female"/>
        <s v="Male"/>
      </sharedItems>
    </cacheField>
    <cacheField name="Salary" numFmtId="0">
      <sharedItems containsSemiMixedTypes="0" containsString="0" containsNumber="1" containsInteger="1">
        <n v="117811.0"/>
        <n v="76701.0"/>
        <n v="118402.0"/>
        <n v="34561.0"/>
        <n v="47915.0"/>
        <n v="85822.0"/>
        <n v="101662.0"/>
        <n v="118448.0"/>
        <n v="43173.0"/>
        <n v="81697.0"/>
        <n v="106621.0"/>
        <n v="75457.0"/>
        <n v="115503.0"/>
        <n v="40171.0"/>
        <n v="118467.0"/>
        <n v="76410.0"/>
        <n v="30725.0"/>
        <n v="59172.0"/>
        <n v="63693.0"/>
        <n v="79767.0"/>
        <n v="99550.0"/>
        <n v="46248.0"/>
        <n v="76198.0"/>
        <n v="108354.0"/>
        <n v="40252.0"/>
        <n v="31265.0"/>
        <n v="86267.0"/>
        <n v="83498.0"/>
        <n v="113514.0"/>
        <n v="112241.0"/>
        <n v="102518.0"/>
        <n v="36534.0"/>
        <n v="71656.0"/>
        <n v="56974.0"/>
        <n v="65079.0"/>
        <n v="115040.0"/>
        <n v="111677.0"/>
        <n v="95705.0"/>
        <n v="46798.0"/>
        <n v="111266.0"/>
        <n v="43851.0"/>
        <n v="60254.0"/>
        <n v="38129.0"/>
        <n v="83273.0"/>
        <n v="55498.0"/>
        <n v="43345.0"/>
        <n v="50480.0"/>
        <n v="85012.0"/>
        <n v="52479.0"/>
        <n v="117663.0"/>
        <n v="52283.0"/>
        <n v="40234.0"/>
        <n v="69425.0"/>
        <n v="68015.0"/>
        <n v="81809.0"/>
        <n v="36519.0"/>
        <n v="53352.0"/>
        <n v="41525.0"/>
        <n v="70845.0"/>
        <n v="109929.0"/>
        <n v="94313.0"/>
        <n v="50159.0"/>
        <n v="63755.0"/>
        <n v="87843.0"/>
        <n v="111037.0"/>
        <n v="87090.0"/>
        <n v="37147.0"/>
        <n v="117403.0"/>
        <n v="99153.0"/>
        <n v="103430.0"/>
        <n v="86406.0"/>
        <n v="49610.0"/>
        <n v="34492.0"/>
        <n v="44654.0"/>
        <n v="46686.0"/>
        <n v="54668.0"/>
        <n v="44232.0"/>
        <n v="66698.0"/>
        <n v="37607.0"/>
        <n v="52382.0"/>
        <n v="34186.0"/>
        <n v="30144.0"/>
        <n v="62851.0"/>
        <n v="112588.0"/>
        <n v="71423.0"/>
        <n v="87187.0"/>
        <n v="78158.0"/>
        <n v="94463.0"/>
        <n v="97585.0"/>
        <n v="100114.0"/>
        <n v="73776.0"/>
        <n v="110318.0"/>
        <n v="69738.0"/>
        <n v="61960.0"/>
        <n v="80339.0"/>
        <n v="59001.0"/>
        <n v="32448.0"/>
        <n v="69648.0"/>
        <n v="80365.0"/>
        <n v="66410.0"/>
      </sharedItems>
    </cacheField>
    <cacheField name="Attendance %" numFmtId="0">
      <sharedItems containsSemiMixedTypes="0" containsString="0" containsNumber="1" containsInteger="1">
        <n v="76.0"/>
        <n v="80.0"/>
        <n v="78.0"/>
        <n v="85.0"/>
        <n v="89.0"/>
        <n v="88.0"/>
        <n v="86.0"/>
        <n v="90.0"/>
        <n v="82.0"/>
        <n v="77.0"/>
        <n v="95.0"/>
        <n v="100.0"/>
        <n v="75.0"/>
        <n v="79.0"/>
        <n v="97.0"/>
        <n v="92.0"/>
        <n v="81.0"/>
        <n v="94.0"/>
        <n v="99.0"/>
        <n v="87.0"/>
        <n v="83.0"/>
        <n v="98.0"/>
        <n v="84.0"/>
        <n v="91.0"/>
        <n v="96.0"/>
        <n v="93.0"/>
      </sharedItems>
    </cacheField>
    <cacheField name="Performance" numFmtId="0">
      <sharedItems>
        <s v="Average"/>
        <s v="Below Average"/>
        <s v="Outstanding"/>
        <s v="Good"/>
        <s v="Excellent"/>
      </sharedItems>
    </cacheField>
    <cacheField name="Experience (Years)" numFmtId="0">
      <sharedItems containsSemiMixedTypes="0" containsString="0" containsNumber="1" containsInteger="1">
        <n v="19.0"/>
        <n v="10.0"/>
        <n v="9.0"/>
        <n v="20.0"/>
        <n v="18.0"/>
        <n v="5.0"/>
        <n v="16.0"/>
        <n v="13.0"/>
        <n v="2.0"/>
        <n v="3.0"/>
        <n v="7.0"/>
        <n v="15.0"/>
        <n v="11.0"/>
        <n v="12.0"/>
        <n v="8.0"/>
        <n v="17.0"/>
        <n v="1.0"/>
        <n v="6.0"/>
        <n v="4.0"/>
        <n v="14.0"/>
      </sharedItems>
    </cacheField>
    <cacheField name="City" numFmtId="0">
      <sharedItems>
        <s v="Butwal"/>
        <s v="Kathmandu"/>
        <s v="Pokhara"/>
        <s v="Jhapa"/>
        <s v="Biratnagar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Employees by City" cacheId="0" dataCaption="" rowGrandTotals="0" compact="0" compactData="0">
  <location ref="A1:B6" firstHeaderRow="0" firstDataRow="1" firstDataCol="0"/>
  <pivotFields>
    <pivotField name="Employee 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ame="Employee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ame="Department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osit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Gender" compact="0" outline="0" multipleItemSelectionAllowed="1" showAll="0">
      <items>
        <item x="0"/>
        <item x="1"/>
        <item t="default"/>
      </items>
    </pivotField>
    <pivotField name="Sala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ame="Attendance %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Performanc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Experience (Years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City" axis="axisRow" compact="0" outline="0" multipleItemSelectionAllowed="1" showAll="0" sortType="ascending">
      <items>
        <item x="4"/>
        <item x="0"/>
        <item x="3"/>
        <item x="1"/>
        <item x="2"/>
        <item t="default"/>
      </items>
    </pivotField>
  </pivotFields>
  <rowFields>
    <field x="9"/>
  </rowFields>
  <dataFields>
    <dataField name="COUNTA of Employee ID" fld="0" subtotal="count" baseField="0"/>
  </dataFields>
</pivotTableDefinition>
</file>

<file path=xl/pivotTables/pivotTable2.xml><?xml version="1.0" encoding="utf-8"?>
<pivotTableDefinition xmlns="http://schemas.openxmlformats.org/spreadsheetml/2006/main" name="Employees by performance" cacheId="0" dataCaption="" compact="0" compactData="0">
  <location ref="A1:B7" firstHeaderRow="0" firstDataRow="1" firstDataCol="0"/>
  <pivotFields>
    <pivotField name="Employee 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ame="Employee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ame="Department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osit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Gender" compact="0" outline="0" multipleItemSelectionAllowed="1" showAll="0">
      <items>
        <item x="0"/>
        <item x="1"/>
        <item t="default"/>
      </items>
    </pivotField>
    <pivotField name="Sala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ame="Attendance %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Performance" axis="axisRow" compact="0" outline="0" multipleItemSelectionAllowed="1" showAll="0" sortType="ascending">
      <items>
        <item x="0"/>
        <item x="1"/>
        <item x="4"/>
        <item x="3"/>
        <item x="2"/>
        <item t="default"/>
      </items>
    </pivotField>
    <pivotField name="Experience (Years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t="default"/>
      </items>
    </pivotField>
  </pivotFields>
  <rowFields>
    <field x="7"/>
  </rowFields>
  <dataFields>
    <dataField name="COUNTA of Employee ID" fld="0" subtotal="count" baseField="0"/>
  </dataFields>
</pivotTableDefinition>
</file>

<file path=xl/pivotTables/pivotTable3.xml><?xml version="1.0" encoding="utf-8"?>
<pivotTableDefinition xmlns="http://schemas.openxmlformats.org/spreadsheetml/2006/main" name="Average Attendance by Departmen" cacheId="0" dataCaption="" compact="0" compactData="0">
  <location ref="A1:B7" firstHeaderRow="0" firstDataRow="1" firstDataCol="0"/>
  <pivotFields>
    <pivotField name="Employee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ame="Employee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ame="Department" axis="axisRow" compact="0" outline="0" multipleItemSelectionAllowed="1" showAll="0" sortType="ascending">
      <items>
        <item x="0"/>
        <item x="4"/>
        <item x="2"/>
        <item x="3"/>
        <item x="1"/>
        <item t="default"/>
      </items>
    </pivotField>
    <pivotField name="Posit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Gender" compact="0" outline="0" multipleItemSelectionAllowed="1" showAll="0">
      <items>
        <item x="0"/>
        <item x="1"/>
        <item t="default"/>
      </items>
    </pivotField>
    <pivotField name="Sala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ame="Attendance %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Performanc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Experience (Years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t="default"/>
      </items>
    </pivotField>
  </pivotFields>
  <rowFields>
    <field x="2"/>
  </rowFields>
  <dataFields>
    <dataField name="AVERAGE of Attendance %" fld="6" subtotal="average" baseField="0"/>
  </dataFields>
</pivotTableDefinition>
</file>

<file path=xl/pivotTables/pivotTable4.xml><?xml version="1.0" encoding="utf-8"?>
<pivotTableDefinition xmlns="http://schemas.openxmlformats.org/spreadsheetml/2006/main" name="Average Salary by Department" cacheId="0" dataCaption="" compact="0" compactData="0">
  <location ref="A1:B7" firstHeaderRow="0" firstDataRow="1" firstDataCol="0"/>
  <pivotFields>
    <pivotField name="Employee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ame="Employee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ame="Department" axis="axisRow" compact="0" outline="0" multipleItemSelectionAllowed="1" showAll="0" sortType="ascending">
      <items>
        <item x="0"/>
        <item x="4"/>
        <item x="2"/>
        <item x="3"/>
        <item x="1"/>
        <item t="default"/>
      </items>
    </pivotField>
    <pivotField name="Posit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Gender" compact="0" outline="0" multipleItemSelectionAllowed="1" showAll="0">
      <items>
        <item x="0"/>
        <item x="1"/>
        <item t="default"/>
      </items>
    </pivotField>
    <pivotField name="Salary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ame="Attendance %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Performanc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Experience (Years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t="default"/>
      </items>
    </pivotField>
  </pivotFields>
  <rowFields>
    <field x="2"/>
  </rowFields>
  <dataFields>
    <dataField name="AVERAGE of Salary" fld="5" subtotal="average" baseField="0"/>
  </dataFields>
</pivotTableDefinition>
</file>

<file path=xl/pivotTables/pivotTable5.xml><?xml version="1.0" encoding="utf-8"?>
<pivotTableDefinition xmlns="http://schemas.openxmlformats.org/spreadsheetml/2006/main" name="Employees by Gender" cacheId="0" dataCaption="" rowGrandTotals="0" compact="0" compactData="0">
  <location ref="A1:B3" firstHeaderRow="0" firstDataRow="1" firstDataCol="0"/>
  <pivotFields>
    <pivotField name="Employee 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ame="Employee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ame="Department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osit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Gender" axis="axisRow" compact="0" outline="0" multipleItemSelectionAllowed="1" showAll="0" sortType="ascending">
      <items>
        <item x="0"/>
        <item x="1"/>
        <item t="default"/>
      </items>
    </pivotField>
    <pivotField name="Sala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ame="Attendance %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Performanc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Experience (Years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t="default"/>
      </items>
    </pivotField>
  </pivotFields>
  <rowFields>
    <field x="4"/>
  </rowFields>
  <dataFields>
    <dataField name="COUNTA of Employee ID" fld="0" subtotal="count" baseField="0"/>
  </dataFields>
</pivotTableDefinition>
</file>

<file path=xl/pivotTables/pivotTable6.xml><?xml version="1.0" encoding="utf-8"?>
<pivotTableDefinition xmlns="http://schemas.openxmlformats.org/spreadsheetml/2006/main" name="Employees by department" cacheId="0" dataCaption="" rowGrandTotals="0" compact="0" compactData="0">
  <location ref="A1:B6" firstHeaderRow="0" firstDataRow="1" firstDataCol="0"/>
  <pivotFields>
    <pivotField name="Employee 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ame="Employee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ame="Department" axis="axisRow" compact="0" outline="0" multipleItemSelectionAllowed="1" showAll="0" sortType="ascending">
      <items>
        <item x="0"/>
        <item x="4"/>
        <item x="2"/>
        <item x="3"/>
        <item x="1"/>
        <item t="default"/>
      </items>
    </pivotField>
    <pivotField name="Posit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Gender" compact="0" outline="0" multipleItemSelectionAllowed="1" showAll="0">
      <items>
        <item x="0"/>
        <item x="1"/>
        <item t="default"/>
      </items>
    </pivotField>
    <pivotField name="Sala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ame="Attendance %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Performanc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Experience (Years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t="default"/>
      </items>
    </pivotField>
  </pivotFields>
  <rowFields>
    <field x="2"/>
  </rowFields>
  <dataFields>
    <dataField name="COUNTA of Employee ID" fld="0" subtotal="count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5"/>
    <col customWidth="1" min="2" max="2" width="16.5"/>
    <col customWidth="1" min="7" max="7" width="14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</row>
    <row r="2">
      <c r="A2" s="3">
        <f t="shared" ref="A2:A101" si="1">ROW()-1</f>
        <v>1</v>
      </c>
      <c r="B2" s="3" t="str">
        <f t="shared" ref="B2:B101" si="2">"EMPLOYEE "&amp;A2</f>
        <v>EMPLOYEE 1</v>
      </c>
      <c r="C2" s="3" t="str">
        <f t="shared" ref="C2:C101" si="3">CHOOSE(RANDBETWEEN(1,5),"HR","IT","FINANCE","SALES","MARKETING")</f>
        <v>FINANCE</v>
      </c>
      <c r="D2" s="3" t="str">
        <f t="shared" ref="D2:D101" si="4">CHOOSE(RANDBETWEEN(1,5),"Manager","Executive","Analyst","Assistant","Officer")</f>
        <v>Manager</v>
      </c>
      <c r="E2" s="3" t="str">
        <f t="shared" ref="E2:E101" si="5">CHOOSE(RANDBETWEEN(1,2),"Male","Female")</f>
        <v>Female</v>
      </c>
      <c r="F2" s="3">
        <f t="shared" ref="F2:F101" si="6">RANDBETWEEN(30000,120000)</f>
        <v>117811</v>
      </c>
      <c r="G2" s="3">
        <f t="shared" ref="G2:G101" si="7">RANDBETWEEN(75,100)</f>
        <v>76</v>
      </c>
      <c r="H2" s="3" t="str">
        <f t="shared" ref="H2:H101" si="8">CHOOSE(RANDBETWEEN(1,5),"Excellent","Good","Average","Below Average","Outstanding")</f>
        <v>Average</v>
      </c>
      <c r="I2" s="3">
        <f t="shared" ref="I2:I101" si="9">RANDBETWEEN(1,20)</f>
        <v>19</v>
      </c>
      <c r="J2" s="3" t="str">
        <f t="shared" ref="J2:J101" si="10">CHOOSE(RANDBETWEEN(1,5),"Kathmandu","Pokhara","Biratnagar","Jhapa","Butwal")</f>
        <v>Butwal</v>
      </c>
    </row>
    <row r="3">
      <c r="A3" s="3">
        <f t="shared" si="1"/>
        <v>2</v>
      </c>
      <c r="B3" s="3" t="str">
        <f t="shared" si="2"/>
        <v>EMPLOYEE 2</v>
      </c>
      <c r="C3" s="3" t="str">
        <f t="shared" si="3"/>
        <v>SALES</v>
      </c>
      <c r="D3" s="3" t="str">
        <f t="shared" si="4"/>
        <v>Analyst</v>
      </c>
      <c r="E3" s="3" t="str">
        <f t="shared" si="5"/>
        <v>Male</v>
      </c>
      <c r="F3" s="3">
        <f t="shared" si="6"/>
        <v>76701</v>
      </c>
      <c r="G3" s="3">
        <f t="shared" si="7"/>
        <v>80</v>
      </c>
      <c r="H3" s="3" t="str">
        <f t="shared" si="8"/>
        <v>Average</v>
      </c>
      <c r="I3" s="3">
        <f t="shared" si="9"/>
        <v>10</v>
      </c>
      <c r="J3" s="3" t="str">
        <f t="shared" si="10"/>
        <v>Kathmandu</v>
      </c>
    </row>
    <row r="4">
      <c r="A4" s="3">
        <f t="shared" si="1"/>
        <v>3</v>
      </c>
      <c r="B4" s="3" t="str">
        <f t="shared" si="2"/>
        <v>EMPLOYEE 3</v>
      </c>
      <c r="C4" s="3" t="str">
        <f t="shared" si="3"/>
        <v>IT</v>
      </c>
      <c r="D4" s="3" t="str">
        <f t="shared" si="4"/>
        <v>Analyst</v>
      </c>
      <c r="E4" s="3" t="str">
        <f t="shared" si="5"/>
        <v>Female</v>
      </c>
      <c r="F4" s="3">
        <f t="shared" si="6"/>
        <v>118402</v>
      </c>
      <c r="G4" s="3">
        <f t="shared" si="7"/>
        <v>78</v>
      </c>
      <c r="H4" s="3" t="str">
        <f t="shared" si="8"/>
        <v>Below Average</v>
      </c>
      <c r="I4" s="3">
        <f t="shared" si="9"/>
        <v>9</v>
      </c>
      <c r="J4" s="3" t="str">
        <f t="shared" si="10"/>
        <v>Butwal</v>
      </c>
    </row>
    <row r="5">
      <c r="A5" s="3">
        <f t="shared" si="1"/>
        <v>4</v>
      </c>
      <c r="B5" s="3" t="str">
        <f t="shared" si="2"/>
        <v>EMPLOYEE 4</v>
      </c>
      <c r="C5" s="3" t="str">
        <f t="shared" si="3"/>
        <v>IT</v>
      </c>
      <c r="D5" s="3" t="str">
        <f t="shared" si="4"/>
        <v>Executive</v>
      </c>
      <c r="E5" s="3" t="str">
        <f t="shared" si="5"/>
        <v>Male</v>
      </c>
      <c r="F5" s="3">
        <f t="shared" si="6"/>
        <v>34561</v>
      </c>
      <c r="G5" s="3">
        <f t="shared" si="7"/>
        <v>85</v>
      </c>
      <c r="H5" s="3" t="str">
        <f t="shared" si="8"/>
        <v>Outstanding</v>
      </c>
      <c r="I5" s="3">
        <f t="shared" si="9"/>
        <v>20</v>
      </c>
      <c r="J5" s="3" t="str">
        <f t="shared" si="10"/>
        <v>Butwal</v>
      </c>
    </row>
    <row r="6">
      <c r="A6" s="3">
        <f t="shared" si="1"/>
        <v>5</v>
      </c>
      <c r="B6" s="3" t="str">
        <f t="shared" si="2"/>
        <v>EMPLOYEE 5</v>
      </c>
      <c r="C6" s="3" t="str">
        <f t="shared" si="3"/>
        <v>FINANCE</v>
      </c>
      <c r="D6" s="3" t="str">
        <f t="shared" si="4"/>
        <v>Manager</v>
      </c>
      <c r="E6" s="3" t="str">
        <f t="shared" si="5"/>
        <v>Male</v>
      </c>
      <c r="F6" s="3">
        <f t="shared" si="6"/>
        <v>47915</v>
      </c>
      <c r="G6" s="3">
        <f t="shared" si="7"/>
        <v>89</v>
      </c>
      <c r="H6" s="3" t="str">
        <f t="shared" si="8"/>
        <v>Outstanding</v>
      </c>
      <c r="I6" s="3">
        <f t="shared" si="9"/>
        <v>18</v>
      </c>
      <c r="J6" s="3" t="str">
        <f t="shared" si="10"/>
        <v>Kathmandu</v>
      </c>
    </row>
    <row r="7">
      <c r="A7" s="3">
        <f t="shared" si="1"/>
        <v>6</v>
      </c>
      <c r="B7" s="3" t="str">
        <f t="shared" si="2"/>
        <v>EMPLOYEE 6</v>
      </c>
      <c r="C7" s="3" t="str">
        <f t="shared" si="3"/>
        <v>MARKETING</v>
      </c>
      <c r="D7" s="3" t="str">
        <f t="shared" si="4"/>
        <v>Analyst</v>
      </c>
      <c r="E7" s="3" t="str">
        <f t="shared" si="5"/>
        <v>Male</v>
      </c>
      <c r="F7" s="3">
        <f t="shared" si="6"/>
        <v>85822</v>
      </c>
      <c r="G7" s="3">
        <f t="shared" si="7"/>
        <v>76</v>
      </c>
      <c r="H7" s="3" t="str">
        <f t="shared" si="8"/>
        <v>Average</v>
      </c>
      <c r="I7" s="3">
        <f t="shared" si="9"/>
        <v>5</v>
      </c>
      <c r="J7" s="3" t="str">
        <f t="shared" si="10"/>
        <v>Pokhara</v>
      </c>
    </row>
    <row r="8">
      <c r="A8" s="3">
        <f t="shared" si="1"/>
        <v>7</v>
      </c>
      <c r="B8" s="3" t="str">
        <f t="shared" si="2"/>
        <v>EMPLOYEE 7</v>
      </c>
      <c r="C8" s="3" t="str">
        <f t="shared" si="3"/>
        <v>FINANCE</v>
      </c>
      <c r="D8" s="3" t="str">
        <f t="shared" si="4"/>
        <v>Assistant</v>
      </c>
      <c r="E8" s="3" t="str">
        <f t="shared" si="5"/>
        <v>Male</v>
      </c>
      <c r="F8" s="3">
        <f t="shared" si="6"/>
        <v>101662</v>
      </c>
      <c r="G8" s="3">
        <f t="shared" si="7"/>
        <v>80</v>
      </c>
      <c r="H8" s="3" t="str">
        <f t="shared" si="8"/>
        <v>Below Average</v>
      </c>
      <c r="I8" s="3">
        <f t="shared" si="9"/>
        <v>16</v>
      </c>
      <c r="J8" s="3" t="str">
        <f t="shared" si="10"/>
        <v>Jhapa</v>
      </c>
    </row>
    <row r="9">
      <c r="A9" s="3">
        <f t="shared" si="1"/>
        <v>8</v>
      </c>
      <c r="B9" s="3" t="str">
        <f t="shared" si="2"/>
        <v>EMPLOYEE 8</v>
      </c>
      <c r="C9" s="3" t="str">
        <f t="shared" si="3"/>
        <v>IT</v>
      </c>
      <c r="D9" s="3" t="str">
        <f t="shared" si="4"/>
        <v>Manager</v>
      </c>
      <c r="E9" s="3" t="str">
        <f t="shared" si="5"/>
        <v>Male</v>
      </c>
      <c r="F9" s="3">
        <f t="shared" si="6"/>
        <v>118448</v>
      </c>
      <c r="G9" s="3">
        <f t="shared" si="7"/>
        <v>88</v>
      </c>
      <c r="H9" s="3" t="str">
        <f t="shared" si="8"/>
        <v>Good</v>
      </c>
      <c r="I9" s="3">
        <f t="shared" si="9"/>
        <v>13</v>
      </c>
      <c r="J9" s="3" t="str">
        <f t="shared" si="10"/>
        <v>Biratnagar</v>
      </c>
    </row>
    <row r="10">
      <c r="A10" s="3">
        <f t="shared" si="1"/>
        <v>9</v>
      </c>
      <c r="B10" s="3" t="str">
        <f t="shared" si="2"/>
        <v>EMPLOYEE 9</v>
      </c>
      <c r="C10" s="3" t="str">
        <f t="shared" si="3"/>
        <v>MARKETING</v>
      </c>
      <c r="D10" s="3" t="str">
        <f t="shared" si="4"/>
        <v>Executive</v>
      </c>
      <c r="E10" s="3" t="str">
        <f t="shared" si="5"/>
        <v>Male</v>
      </c>
      <c r="F10" s="3">
        <f t="shared" si="6"/>
        <v>43173</v>
      </c>
      <c r="G10" s="3">
        <f t="shared" si="7"/>
        <v>86</v>
      </c>
      <c r="H10" s="3" t="str">
        <f t="shared" si="8"/>
        <v>Outstanding</v>
      </c>
      <c r="I10" s="3">
        <f t="shared" si="9"/>
        <v>20</v>
      </c>
      <c r="J10" s="3" t="str">
        <f t="shared" si="10"/>
        <v>Pokhara</v>
      </c>
    </row>
    <row r="11">
      <c r="A11" s="3">
        <f t="shared" si="1"/>
        <v>10</v>
      </c>
      <c r="B11" s="3" t="str">
        <f t="shared" si="2"/>
        <v>EMPLOYEE 10</v>
      </c>
      <c r="C11" s="3" t="str">
        <f t="shared" si="3"/>
        <v>SALES</v>
      </c>
      <c r="D11" s="3" t="str">
        <f t="shared" si="4"/>
        <v>Manager</v>
      </c>
      <c r="E11" s="3" t="str">
        <f t="shared" si="5"/>
        <v>Male</v>
      </c>
      <c r="F11" s="3">
        <f t="shared" si="6"/>
        <v>81697</v>
      </c>
      <c r="G11" s="3">
        <f t="shared" si="7"/>
        <v>89</v>
      </c>
      <c r="H11" s="3" t="str">
        <f t="shared" si="8"/>
        <v>Outstanding</v>
      </c>
      <c r="I11" s="3">
        <f t="shared" si="9"/>
        <v>2</v>
      </c>
      <c r="J11" s="3" t="str">
        <f t="shared" si="10"/>
        <v>Jhapa</v>
      </c>
    </row>
    <row r="12">
      <c r="A12" s="3">
        <f t="shared" si="1"/>
        <v>11</v>
      </c>
      <c r="B12" s="3" t="str">
        <f t="shared" si="2"/>
        <v>EMPLOYEE 11</v>
      </c>
      <c r="C12" s="3" t="str">
        <f t="shared" si="3"/>
        <v>HR</v>
      </c>
      <c r="D12" s="3" t="str">
        <f t="shared" si="4"/>
        <v>Assistant</v>
      </c>
      <c r="E12" s="3" t="str">
        <f t="shared" si="5"/>
        <v>Male</v>
      </c>
      <c r="F12" s="3">
        <f t="shared" si="6"/>
        <v>106621</v>
      </c>
      <c r="G12" s="3">
        <f t="shared" si="7"/>
        <v>90</v>
      </c>
      <c r="H12" s="3" t="str">
        <f t="shared" si="8"/>
        <v>Excellent</v>
      </c>
      <c r="I12" s="3">
        <f t="shared" si="9"/>
        <v>19</v>
      </c>
      <c r="J12" s="3" t="str">
        <f t="shared" si="10"/>
        <v>Biratnagar</v>
      </c>
    </row>
    <row r="13">
      <c r="A13" s="3">
        <f t="shared" si="1"/>
        <v>12</v>
      </c>
      <c r="B13" s="3" t="str">
        <f t="shared" si="2"/>
        <v>EMPLOYEE 12</v>
      </c>
      <c r="C13" s="3" t="str">
        <f t="shared" si="3"/>
        <v>HR</v>
      </c>
      <c r="D13" s="3" t="str">
        <f t="shared" si="4"/>
        <v>Officer</v>
      </c>
      <c r="E13" s="3" t="str">
        <f t="shared" si="5"/>
        <v>Male</v>
      </c>
      <c r="F13" s="3">
        <f t="shared" si="6"/>
        <v>75457</v>
      </c>
      <c r="G13" s="3">
        <f t="shared" si="7"/>
        <v>82</v>
      </c>
      <c r="H13" s="3" t="str">
        <f t="shared" si="8"/>
        <v>Average</v>
      </c>
      <c r="I13" s="3">
        <f t="shared" si="9"/>
        <v>3</v>
      </c>
      <c r="J13" s="3" t="str">
        <f t="shared" si="10"/>
        <v>Butwal</v>
      </c>
    </row>
    <row r="14">
      <c r="A14" s="3">
        <f t="shared" si="1"/>
        <v>13</v>
      </c>
      <c r="B14" s="3" t="str">
        <f t="shared" si="2"/>
        <v>EMPLOYEE 13</v>
      </c>
      <c r="C14" s="3" t="str">
        <f t="shared" si="3"/>
        <v>FINANCE</v>
      </c>
      <c r="D14" s="3" t="str">
        <f t="shared" si="4"/>
        <v>Executive</v>
      </c>
      <c r="E14" s="3" t="str">
        <f t="shared" si="5"/>
        <v>Male</v>
      </c>
      <c r="F14" s="3">
        <f t="shared" si="6"/>
        <v>115503</v>
      </c>
      <c r="G14" s="3">
        <f t="shared" si="7"/>
        <v>78</v>
      </c>
      <c r="H14" s="3" t="str">
        <f t="shared" si="8"/>
        <v>Average</v>
      </c>
      <c r="I14" s="3">
        <f t="shared" si="9"/>
        <v>3</v>
      </c>
      <c r="J14" s="3" t="str">
        <f t="shared" si="10"/>
        <v>Pokhara</v>
      </c>
    </row>
    <row r="15">
      <c r="A15" s="3">
        <f t="shared" si="1"/>
        <v>14</v>
      </c>
      <c r="B15" s="3" t="str">
        <f t="shared" si="2"/>
        <v>EMPLOYEE 14</v>
      </c>
      <c r="C15" s="3" t="str">
        <f t="shared" si="3"/>
        <v>MARKETING</v>
      </c>
      <c r="D15" s="3" t="str">
        <f t="shared" si="4"/>
        <v>Analyst</v>
      </c>
      <c r="E15" s="3" t="str">
        <f t="shared" si="5"/>
        <v>Female</v>
      </c>
      <c r="F15" s="3">
        <f t="shared" si="6"/>
        <v>40171</v>
      </c>
      <c r="G15" s="3">
        <f t="shared" si="7"/>
        <v>80</v>
      </c>
      <c r="H15" s="3" t="str">
        <f t="shared" si="8"/>
        <v>Average</v>
      </c>
      <c r="I15" s="3">
        <f t="shared" si="9"/>
        <v>2</v>
      </c>
      <c r="J15" s="3" t="str">
        <f t="shared" si="10"/>
        <v>Pokhara</v>
      </c>
    </row>
    <row r="16">
      <c r="A16" s="3">
        <f t="shared" si="1"/>
        <v>15</v>
      </c>
      <c r="B16" s="3" t="str">
        <f t="shared" si="2"/>
        <v>EMPLOYEE 15</v>
      </c>
      <c r="C16" s="3" t="str">
        <f t="shared" si="3"/>
        <v>IT</v>
      </c>
      <c r="D16" s="3" t="str">
        <f t="shared" si="4"/>
        <v>Analyst</v>
      </c>
      <c r="E16" s="3" t="str">
        <f t="shared" si="5"/>
        <v>Female</v>
      </c>
      <c r="F16" s="3">
        <f t="shared" si="6"/>
        <v>118467</v>
      </c>
      <c r="G16" s="3">
        <f t="shared" si="7"/>
        <v>85</v>
      </c>
      <c r="H16" s="3" t="str">
        <f t="shared" si="8"/>
        <v>Excellent</v>
      </c>
      <c r="I16" s="3">
        <f t="shared" si="9"/>
        <v>9</v>
      </c>
      <c r="J16" s="3" t="str">
        <f t="shared" si="10"/>
        <v>Biratnagar</v>
      </c>
    </row>
    <row r="17">
      <c r="A17" s="3">
        <f t="shared" si="1"/>
        <v>16</v>
      </c>
      <c r="B17" s="3" t="str">
        <f t="shared" si="2"/>
        <v>EMPLOYEE 16</v>
      </c>
      <c r="C17" s="3" t="str">
        <f t="shared" si="3"/>
        <v>SALES</v>
      </c>
      <c r="D17" s="3" t="str">
        <f t="shared" si="4"/>
        <v>Assistant</v>
      </c>
      <c r="E17" s="3" t="str">
        <f t="shared" si="5"/>
        <v>Female</v>
      </c>
      <c r="F17" s="3">
        <f t="shared" si="6"/>
        <v>76410</v>
      </c>
      <c r="G17" s="3">
        <f t="shared" si="7"/>
        <v>77</v>
      </c>
      <c r="H17" s="3" t="str">
        <f t="shared" si="8"/>
        <v>Good</v>
      </c>
      <c r="I17" s="3">
        <f t="shared" si="9"/>
        <v>7</v>
      </c>
      <c r="J17" s="3" t="str">
        <f t="shared" si="10"/>
        <v>Kathmandu</v>
      </c>
    </row>
    <row r="18">
      <c r="A18" s="3">
        <f t="shared" si="1"/>
        <v>17</v>
      </c>
      <c r="B18" s="3" t="str">
        <f t="shared" si="2"/>
        <v>EMPLOYEE 17</v>
      </c>
      <c r="C18" s="3" t="str">
        <f t="shared" si="3"/>
        <v>IT</v>
      </c>
      <c r="D18" s="3" t="str">
        <f t="shared" si="4"/>
        <v>Officer</v>
      </c>
      <c r="E18" s="3" t="str">
        <f t="shared" si="5"/>
        <v>Male</v>
      </c>
      <c r="F18" s="3">
        <f t="shared" si="6"/>
        <v>30725</v>
      </c>
      <c r="G18" s="3">
        <f t="shared" si="7"/>
        <v>95</v>
      </c>
      <c r="H18" s="3" t="str">
        <f t="shared" si="8"/>
        <v>Outstanding</v>
      </c>
      <c r="I18" s="3">
        <f t="shared" si="9"/>
        <v>15</v>
      </c>
      <c r="J18" s="3" t="str">
        <f t="shared" si="10"/>
        <v>Butwal</v>
      </c>
    </row>
    <row r="19">
      <c r="A19" s="3">
        <f t="shared" si="1"/>
        <v>18</v>
      </c>
      <c r="B19" s="3" t="str">
        <f t="shared" si="2"/>
        <v>EMPLOYEE 18</v>
      </c>
      <c r="C19" s="3" t="str">
        <f t="shared" si="3"/>
        <v>MARKETING</v>
      </c>
      <c r="D19" s="3" t="str">
        <f t="shared" si="4"/>
        <v>Executive</v>
      </c>
      <c r="E19" s="3" t="str">
        <f t="shared" si="5"/>
        <v>Female</v>
      </c>
      <c r="F19" s="3">
        <f t="shared" si="6"/>
        <v>59172</v>
      </c>
      <c r="G19" s="3">
        <f t="shared" si="7"/>
        <v>100</v>
      </c>
      <c r="H19" s="3" t="str">
        <f t="shared" si="8"/>
        <v>Excellent</v>
      </c>
      <c r="I19" s="3">
        <f t="shared" si="9"/>
        <v>13</v>
      </c>
      <c r="J19" s="3" t="str">
        <f t="shared" si="10"/>
        <v>Biratnagar</v>
      </c>
    </row>
    <row r="20">
      <c r="A20" s="3">
        <f t="shared" si="1"/>
        <v>19</v>
      </c>
      <c r="B20" s="3" t="str">
        <f t="shared" si="2"/>
        <v>EMPLOYEE 19</v>
      </c>
      <c r="C20" s="3" t="str">
        <f t="shared" si="3"/>
        <v>SALES</v>
      </c>
      <c r="D20" s="3" t="str">
        <f t="shared" si="4"/>
        <v>Assistant</v>
      </c>
      <c r="E20" s="3" t="str">
        <f t="shared" si="5"/>
        <v>Female</v>
      </c>
      <c r="F20" s="3">
        <f t="shared" si="6"/>
        <v>63693</v>
      </c>
      <c r="G20" s="3">
        <f t="shared" si="7"/>
        <v>75</v>
      </c>
      <c r="H20" s="3" t="str">
        <f t="shared" si="8"/>
        <v>Outstanding</v>
      </c>
      <c r="I20" s="3">
        <f t="shared" si="9"/>
        <v>7</v>
      </c>
      <c r="J20" s="3" t="str">
        <f t="shared" si="10"/>
        <v>Jhapa</v>
      </c>
    </row>
    <row r="21">
      <c r="A21" s="3">
        <f t="shared" si="1"/>
        <v>20</v>
      </c>
      <c r="B21" s="3" t="str">
        <f t="shared" si="2"/>
        <v>EMPLOYEE 20</v>
      </c>
      <c r="C21" s="3" t="str">
        <f t="shared" si="3"/>
        <v>MARKETING</v>
      </c>
      <c r="D21" s="3" t="str">
        <f t="shared" si="4"/>
        <v>Officer</v>
      </c>
      <c r="E21" s="3" t="str">
        <f t="shared" si="5"/>
        <v>Female</v>
      </c>
      <c r="F21" s="3">
        <f t="shared" si="6"/>
        <v>79767</v>
      </c>
      <c r="G21" s="3">
        <f t="shared" si="7"/>
        <v>79</v>
      </c>
      <c r="H21" s="3" t="str">
        <f t="shared" si="8"/>
        <v>Outstanding</v>
      </c>
      <c r="I21" s="3">
        <f t="shared" si="9"/>
        <v>9</v>
      </c>
      <c r="J21" s="3" t="str">
        <f t="shared" si="10"/>
        <v>Butwal</v>
      </c>
    </row>
    <row r="22">
      <c r="A22" s="3">
        <f t="shared" si="1"/>
        <v>21</v>
      </c>
      <c r="B22" s="3" t="str">
        <f t="shared" si="2"/>
        <v>EMPLOYEE 21</v>
      </c>
      <c r="C22" s="3" t="str">
        <f t="shared" si="3"/>
        <v>MARKETING</v>
      </c>
      <c r="D22" s="3" t="str">
        <f t="shared" si="4"/>
        <v>Officer</v>
      </c>
      <c r="E22" s="3" t="str">
        <f t="shared" si="5"/>
        <v>Female</v>
      </c>
      <c r="F22" s="3">
        <f t="shared" si="6"/>
        <v>99550</v>
      </c>
      <c r="G22" s="3">
        <f t="shared" si="7"/>
        <v>97</v>
      </c>
      <c r="H22" s="3" t="str">
        <f t="shared" si="8"/>
        <v>Good</v>
      </c>
      <c r="I22" s="3">
        <f t="shared" si="9"/>
        <v>18</v>
      </c>
      <c r="J22" s="3" t="str">
        <f t="shared" si="10"/>
        <v>Jhapa</v>
      </c>
    </row>
    <row r="23">
      <c r="A23" s="3">
        <f t="shared" si="1"/>
        <v>22</v>
      </c>
      <c r="B23" s="3" t="str">
        <f t="shared" si="2"/>
        <v>EMPLOYEE 22</v>
      </c>
      <c r="C23" s="3" t="str">
        <f t="shared" si="3"/>
        <v>FINANCE</v>
      </c>
      <c r="D23" s="3" t="str">
        <f t="shared" si="4"/>
        <v>Manager</v>
      </c>
      <c r="E23" s="3" t="str">
        <f t="shared" si="5"/>
        <v>Male</v>
      </c>
      <c r="F23" s="3">
        <f t="shared" si="6"/>
        <v>46248</v>
      </c>
      <c r="G23" s="3">
        <f t="shared" si="7"/>
        <v>80</v>
      </c>
      <c r="H23" s="3" t="str">
        <f t="shared" si="8"/>
        <v>Average</v>
      </c>
      <c r="I23" s="3">
        <f t="shared" si="9"/>
        <v>9</v>
      </c>
      <c r="J23" s="3" t="str">
        <f t="shared" si="10"/>
        <v>Butwal</v>
      </c>
    </row>
    <row r="24">
      <c r="A24" s="3">
        <f t="shared" si="1"/>
        <v>23</v>
      </c>
      <c r="B24" s="3" t="str">
        <f t="shared" si="2"/>
        <v>EMPLOYEE 23</v>
      </c>
      <c r="C24" s="3" t="str">
        <f t="shared" si="3"/>
        <v>IT</v>
      </c>
      <c r="D24" s="3" t="str">
        <f t="shared" si="4"/>
        <v>Manager</v>
      </c>
      <c r="E24" s="3" t="str">
        <f t="shared" si="5"/>
        <v>Female</v>
      </c>
      <c r="F24" s="3">
        <f t="shared" si="6"/>
        <v>76198</v>
      </c>
      <c r="G24" s="3">
        <f t="shared" si="7"/>
        <v>92</v>
      </c>
      <c r="H24" s="3" t="str">
        <f t="shared" si="8"/>
        <v>Excellent</v>
      </c>
      <c r="I24" s="3">
        <f t="shared" si="9"/>
        <v>11</v>
      </c>
      <c r="J24" s="3" t="str">
        <f t="shared" si="10"/>
        <v>Biratnagar</v>
      </c>
    </row>
    <row r="25">
      <c r="A25" s="3">
        <f t="shared" si="1"/>
        <v>24</v>
      </c>
      <c r="B25" s="3" t="str">
        <f t="shared" si="2"/>
        <v>EMPLOYEE 24</v>
      </c>
      <c r="C25" s="3" t="str">
        <f t="shared" si="3"/>
        <v>SALES</v>
      </c>
      <c r="D25" s="3" t="str">
        <f t="shared" si="4"/>
        <v>Manager</v>
      </c>
      <c r="E25" s="3" t="str">
        <f t="shared" si="5"/>
        <v>Female</v>
      </c>
      <c r="F25" s="3">
        <f t="shared" si="6"/>
        <v>108354</v>
      </c>
      <c r="G25" s="3">
        <f t="shared" si="7"/>
        <v>95</v>
      </c>
      <c r="H25" s="3" t="str">
        <f t="shared" si="8"/>
        <v>Average</v>
      </c>
      <c r="I25" s="3">
        <f t="shared" si="9"/>
        <v>19</v>
      </c>
      <c r="J25" s="3" t="str">
        <f t="shared" si="10"/>
        <v>Biratnagar</v>
      </c>
    </row>
    <row r="26">
      <c r="A26" s="3">
        <f t="shared" si="1"/>
        <v>25</v>
      </c>
      <c r="B26" s="3" t="str">
        <f t="shared" si="2"/>
        <v>EMPLOYEE 25</v>
      </c>
      <c r="C26" s="3" t="str">
        <f t="shared" si="3"/>
        <v>IT</v>
      </c>
      <c r="D26" s="3" t="str">
        <f t="shared" si="4"/>
        <v>Assistant</v>
      </c>
      <c r="E26" s="3" t="str">
        <f t="shared" si="5"/>
        <v>Female</v>
      </c>
      <c r="F26" s="3">
        <f t="shared" si="6"/>
        <v>40252</v>
      </c>
      <c r="G26" s="3">
        <f t="shared" si="7"/>
        <v>81</v>
      </c>
      <c r="H26" s="3" t="str">
        <f t="shared" si="8"/>
        <v>Excellent</v>
      </c>
      <c r="I26" s="3">
        <f t="shared" si="9"/>
        <v>12</v>
      </c>
      <c r="J26" s="3" t="str">
        <f t="shared" si="10"/>
        <v>Jhapa</v>
      </c>
    </row>
    <row r="27">
      <c r="A27" s="3">
        <f t="shared" si="1"/>
        <v>26</v>
      </c>
      <c r="B27" s="3" t="str">
        <f t="shared" si="2"/>
        <v>EMPLOYEE 26</v>
      </c>
      <c r="C27" s="3" t="str">
        <f t="shared" si="3"/>
        <v>MARKETING</v>
      </c>
      <c r="D27" s="3" t="str">
        <f t="shared" si="4"/>
        <v>Analyst</v>
      </c>
      <c r="E27" s="3" t="str">
        <f t="shared" si="5"/>
        <v>Male</v>
      </c>
      <c r="F27" s="3">
        <f t="shared" si="6"/>
        <v>31265</v>
      </c>
      <c r="G27" s="3">
        <f t="shared" si="7"/>
        <v>78</v>
      </c>
      <c r="H27" s="3" t="str">
        <f t="shared" si="8"/>
        <v>Good</v>
      </c>
      <c r="I27" s="3">
        <f t="shared" si="9"/>
        <v>16</v>
      </c>
      <c r="J27" s="3" t="str">
        <f t="shared" si="10"/>
        <v>Jhapa</v>
      </c>
    </row>
    <row r="28">
      <c r="A28" s="3">
        <f t="shared" si="1"/>
        <v>27</v>
      </c>
      <c r="B28" s="3" t="str">
        <f t="shared" si="2"/>
        <v>EMPLOYEE 27</v>
      </c>
      <c r="C28" s="3" t="str">
        <f t="shared" si="3"/>
        <v>FINANCE</v>
      </c>
      <c r="D28" s="3" t="str">
        <f t="shared" si="4"/>
        <v>Analyst</v>
      </c>
      <c r="E28" s="3" t="str">
        <f t="shared" si="5"/>
        <v>Female</v>
      </c>
      <c r="F28" s="3">
        <f t="shared" si="6"/>
        <v>86267</v>
      </c>
      <c r="G28" s="3">
        <f t="shared" si="7"/>
        <v>97</v>
      </c>
      <c r="H28" s="3" t="str">
        <f t="shared" si="8"/>
        <v>Average</v>
      </c>
      <c r="I28" s="3">
        <f t="shared" si="9"/>
        <v>12</v>
      </c>
      <c r="J28" s="3" t="str">
        <f t="shared" si="10"/>
        <v>Jhapa</v>
      </c>
    </row>
    <row r="29">
      <c r="A29" s="3">
        <f t="shared" si="1"/>
        <v>28</v>
      </c>
      <c r="B29" s="3" t="str">
        <f t="shared" si="2"/>
        <v>EMPLOYEE 28</v>
      </c>
      <c r="C29" s="3" t="str">
        <f t="shared" si="3"/>
        <v>MARKETING</v>
      </c>
      <c r="D29" s="3" t="str">
        <f t="shared" si="4"/>
        <v>Analyst</v>
      </c>
      <c r="E29" s="3" t="str">
        <f t="shared" si="5"/>
        <v>Female</v>
      </c>
      <c r="F29" s="3">
        <f t="shared" si="6"/>
        <v>83498</v>
      </c>
      <c r="G29" s="3">
        <f t="shared" si="7"/>
        <v>94</v>
      </c>
      <c r="H29" s="3" t="str">
        <f t="shared" si="8"/>
        <v>Average</v>
      </c>
      <c r="I29" s="3">
        <f t="shared" si="9"/>
        <v>8</v>
      </c>
      <c r="J29" s="3" t="str">
        <f t="shared" si="10"/>
        <v>Butwal</v>
      </c>
    </row>
    <row r="30">
      <c r="A30" s="3">
        <f t="shared" si="1"/>
        <v>29</v>
      </c>
      <c r="B30" s="3" t="str">
        <f t="shared" si="2"/>
        <v>EMPLOYEE 29</v>
      </c>
      <c r="C30" s="3" t="str">
        <f t="shared" si="3"/>
        <v>HR</v>
      </c>
      <c r="D30" s="3" t="str">
        <f t="shared" si="4"/>
        <v>Analyst</v>
      </c>
      <c r="E30" s="3" t="str">
        <f t="shared" si="5"/>
        <v>Female</v>
      </c>
      <c r="F30" s="3">
        <f t="shared" si="6"/>
        <v>113514</v>
      </c>
      <c r="G30" s="3">
        <f t="shared" si="7"/>
        <v>99</v>
      </c>
      <c r="H30" s="3" t="str">
        <f t="shared" si="8"/>
        <v>Outstanding</v>
      </c>
      <c r="I30" s="3">
        <f t="shared" si="9"/>
        <v>9</v>
      </c>
      <c r="J30" s="3" t="str">
        <f t="shared" si="10"/>
        <v>Kathmandu</v>
      </c>
    </row>
    <row r="31">
      <c r="A31" s="3">
        <f t="shared" si="1"/>
        <v>30</v>
      </c>
      <c r="B31" s="3" t="str">
        <f t="shared" si="2"/>
        <v>EMPLOYEE 30</v>
      </c>
      <c r="C31" s="3" t="str">
        <f t="shared" si="3"/>
        <v>FINANCE</v>
      </c>
      <c r="D31" s="3" t="str">
        <f t="shared" si="4"/>
        <v>Officer</v>
      </c>
      <c r="E31" s="3" t="str">
        <f t="shared" si="5"/>
        <v>Male</v>
      </c>
      <c r="F31" s="3">
        <f t="shared" si="6"/>
        <v>112241</v>
      </c>
      <c r="G31" s="3">
        <f t="shared" si="7"/>
        <v>80</v>
      </c>
      <c r="H31" s="3" t="str">
        <f t="shared" si="8"/>
        <v>Excellent</v>
      </c>
      <c r="I31" s="3">
        <f t="shared" si="9"/>
        <v>20</v>
      </c>
      <c r="J31" s="3" t="str">
        <f t="shared" si="10"/>
        <v>Pokhara</v>
      </c>
    </row>
    <row r="32">
      <c r="A32" s="3">
        <f t="shared" si="1"/>
        <v>31</v>
      </c>
      <c r="B32" s="3" t="str">
        <f t="shared" si="2"/>
        <v>EMPLOYEE 31</v>
      </c>
      <c r="C32" s="3" t="str">
        <f t="shared" si="3"/>
        <v>HR</v>
      </c>
      <c r="D32" s="3" t="str">
        <f t="shared" si="4"/>
        <v>Executive</v>
      </c>
      <c r="E32" s="3" t="str">
        <f t="shared" si="5"/>
        <v>Male</v>
      </c>
      <c r="F32" s="3">
        <f t="shared" si="6"/>
        <v>102518</v>
      </c>
      <c r="G32" s="3">
        <f t="shared" si="7"/>
        <v>87</v>
      </c>
      <c r="H32" s="3" t="str">
        <f t="shared" si="8"/>
        <v>Good</v>
      </c>
      <c r="I32" s="3">
        <f t="shared" si="9"/>
        <v>17</v>
      </c>
      <c r="J32" s="3" t="str">
        <f t="shared" si="10"/>
        <v>Kathmandu</v>
      </c>
    </row>
    <row r="33">
      <c r="A33" s="3">
        <f t="shared" si="1"/>
        <v>32</v>
      </c>
      <c r="B33" s="3" t="str">
        <f t="shared" si="2"/>
        <v>EMPLOYEE 32</v>
      </c>
      <c r="C33" s="3" t="str">
        <f t="shared" si="3"/>
        <v>IT</v>
      </c>
      <c r="D33" s="3" t="str">
        <f t="shared" si="4"/>
        <v>Manager</v>
      </c>
      <c r="E33" s="3" t="str">
        <f t="shared" si="5"/>
        <v>Male</v>
      </c>
      <c r="F33" s="3">
        <f t="shared" si="6"/>
        <v>36534</v>
      </c>
      <c r="G33" s="3">
        <f t="shared" si="7"/>
        <v>77</v>
      </c>
      <c r="H33" s="3" t="str">
        <f t="shared" si="8"/>
        <v>Below Average</v>
      </c>
      <c r="I33" s="3">
        <f t="shared" si="9"/>
        <v>5</v>
      </c>
      <c r="J33" s="3" t="str">
        <f t="shared" si="10"/>
        <v>Biratnagar</v>
      </c>
    </row>
    <row r="34">
      <c r="A34" s="3">
        <f t="shared" si="1"/>
        <v>33</v>
      </c>
      <c r="B34" s="3" t="str">
        <f t="shared" si="2"/>
        <v>EMPLOYEE 33</v>
      </c>
      <c r="C34" s="3" t="str">
        <f t="shared" si="3"/>
        <v>MARKETING</v>
      </c>
      <c r="D34" s="3" t="str">
        <f t="shared" si="4"/>
        <v>Analyst</v>
      </c>
      <c r="E34" s="3" t="str">
        <f t="shared" si="5"/>
        <v>Male</v>
      </c>
      <c r="F34" s="3">
        <f t="shared" si="6"/>
        <v>71656</v>
      </c>
      <c r="G34" s="3">
        <f t="shared" si="7"/>
        <v>79</v>
      </c>
      <c r="H34" s="3" t="str">
        <f t="shared" si="8"/>
        <v>Outstanding</v>
      </c>
      <c r="I34" s="3">
        <f t="shared" si="9"/>
        <v>17</v>
      </c>
      <c r="J34" s="3" t="str">
        <f t="shared" si="10"/>
        <v>Biratnagar</v>
      </c>
    </row>
    <row r="35">
      <c r="A35" s="3">
        <f t="shared" si="1"/>
        <v>34</v>
      </c>
      <c r="B35" s="3" t="str">
        <f t="shared" si="2"/>
        <v>EMPLOYEE 34</v>
      </c>
      <c r="C35" s="3" t="str">
        <f t="shared" si="3"/>
        <v>FINANCE</v>
      </c>
      <c r="D35" s="3" t="str">
        <f t="shared" si="4"/>
        <v>Analyst</v>
      </c>
      <c r="E35" s="3" t="str">
        <f t="shared" si="5"/>
        <v>Female</v>
      </c>
      <c r="F35" s="3">
        <f t="shared" si="6"/>
        <v>56974</v>
      </c>
      <c r="G35" s="3">
        <f t="shared" si="7"/>
        <v>97</v>
      </c>
      <c r="H35" s="3" t="str">
        <f t="shared" si="8"/>
        <v>Excellent</v>
      </c>
      <c r="I35" s="3">
        <f t="shared" si="9"/>
        <v>1</v>
      </c>
      <c r="J35" s="3" t="str">
        <f t="shared" si="10"/>
        <v>Butwal</v>
      </c>
    </row>
    <row r="36">
      <c r="A36" s="3">
        <f t="shared" si="1"/>
        <v>35</v>
      </c>
      <c r="B36" s="3" t="str">
        <f t="shared" si="2"/>
        <v>EMPLOYEE 35</v>
      </c>
      <c r="C36" s="3" t="str">
        <f t="shared" si="3"/>
        <v>HR</v>
      </c>
      <c r="D36" s="3" t="str">
        <f t="shared" si="4"/>
        <v>Officer</v>
      </c>
      <c r="E36" s="3" t="str">
        <f t="shared" si="5"/>
        <v>Male</v>
      </c>
      <c r="F36" s="3">
        <f t="shared" si="6"/>
        <v>65079</v>
      </c>
      <c r="G36" s="3">
        <f t="shared" si="7"/>
        <v>81</v>
      </c>
      <c r="H36" s="3" t="str">
        <f t="shared" si="8"/>
        <v>Good</v>
      </c>
      <c r="I36" s="3">
        <f t="shared" si="9"/>
        <v>10</v>
      </c>
      <c r="J36" s="3" t="str">
        <f t="shared" si="10"/>
        <v>Butwal</v>
      </c>
    </row>
    <row r="37">
      <c r="A37" s="3">
        <f t="shared" si="1"/>
        <v>36</v>
      </c>
      <c r="B37" s="3" t="str">
        <f t="shared" si="2"/>
        <v>EMPLOYEE 36</v>
      </c>
      <c r="C37" s="3" t="str">
        <f t="shared" si="3"/>
        <v>FINANCE</v>
      </c>
      <c r="D37" s="3" t="str">
        <f t="shared" si="4"/>
        <v>Officer</v>
      </c>
      <c r="E37" s="3" t="str">
        <f t="shared" si="5"/>
        <v>Male</v>
      </c>
      <c r="F37" s="3">
        <f t="shared" si="6"/>
        <v>115040</v>
      </c>
      <c r="G37" s="3">
        <f t="shared" si="7"/>
        <v>99</v>
      </c>
      <c r="H37" s="3" t="str">
        <f t="shared" si="8"/>
        <v>Outstanding</v>
      </c>
      <c r="I37" s="3">
        <f t="shared" si="9"/>
        <v>3</v>
      </c>
      <c r="J37" s="3" t="str">
        <f t="shared" si="10"/>
        <v>Jhapa</v>
      </c>
    </row>
    <row r="38">
      <c r="A38" s="3">
        <f t="shared" si="1"/>
        <v>37</v>
      </c>
      <c r="B38" s="3" t="str">
        <f t="shared" si="2"/>
        <v>EMPLOYEE 37</v>
      </c>
      <c r="C38" s="3" t="str">
        <f t="shared" si="3"/>
        <v>SALES</v>
      </c>
      <c r="D38" s="3" t="str">
        <f t="shared" si="4"/>
        <v>Assistant</v>
      </c>
      <c r="E38" s="3" t="str">
        <f t="shared" si="5"/>
        <v>Female</v>
      </c>
      <c r="F38" s="3">
        <f t="shared" si="6"/>
        <v>111677</v>
      </c>
      <c r="G38" s="3">
        <f t="shared" si="7"/>
        <v>97</v>
      </c>
      <c r="H38" s="3" t="str">
        <f t="shared" si="8"/>
        <v>Good</v>
      </c>
      <c r="I38" s="3">
        <f t="shared" si="9"/>
        <v>2</v>
      </c>
      <c r="J38" s="3" t="str">
        <f t="shared" si="10"/>
        <v>Biratnagar</v>
      </c>
    </row>
    <row r="39">
      <c r="A39" s="3">
        <f t="shared" si="1"/>
        <v>38</v>
      </c>
      <c r="B39" s="3" t="str">
        <f t="shared" si="2"/>
        <v>EMPLOYEE 38</v>
      </c>
      <c r="C39" s="3" t="str">
        <f t="shared" si="3"/>
        <v>MARKETING</v>
      </c>
      <c r="D39" s="3" t="str">
        <f t="shared" si="4"/>
        <v>Analyst</v>
      </c>
      <c r="E39" s="3" t="str">
        <f t="shared" si="5"/>
        <v>Male</v>
      </c>
      <c r="F39" s="3">
        <f t="shared" si="6"/>
        <v>95705</v>
      </c>
      <c r="G39" s="3">
        <f t="shared" si="7"/>
        <v>99</v>
      </c>
      <c r="H39" s="3" t="str">
        <f t="shared" si="8"/>
        <v>Good</v>
      </c>
      <c r="I39" s="3">
        <f t="shared" si="9"/>
        <v>16</v>
      </c>
      <c r="J39" s="3" t="str">
        <f t="shared" si="10"/>
        <v>Jhapa</v>
      </c>
    </row>
    <row r="40">
      <c r="A40" s="3">
        <f t="shared" si="1"/>
        <v>39</v>
      </c>
      <c r="B40" s="3" t="str">
        <f t="shared" si="2"/>
        <v>EMPLOYEE 39</v>
      </c>
      <c r="C40" s="3" t="str">
        <f t="shared" si="3"/>
        <v>IT</v>
      </c>
      <c r="D40" s="3" t="str">
        <f t="shared" si="4"/>
        <v>Officer</v>
      </c>
      <c r="E40" s="3" t="str">
        <f t="shared" si="5"/>
        <v>Female</v>
      </c>
      <c r="F40" s="3">
        <f t="shared" si="6"/>
        <v>46798</v>
      </c>
      <c r="G40" s="3">
        <f t="shared" si="7"/>
        <v>75</v>
      </c>
      <c r="H40" s="3" t="str">
        <f t="shared" si="8"/>
        <v>Below Average</v>
      </c>
      <c r="I40" s="3">
        <f t="shared" si="9"/>
        <v>6</v>
      </c>
      <c r="J40" s="3" t="str">
        <f t="shared" si="10"/>
        <v>Pokhara</v>
      </c>
    </row>
    <row r="41">
      <c r="A41" s="3">
        <f t="shared" si="1"/>
        <v>40</v>
      </c>
      <c r="B41" s="3" t="str">
        <f t="shared" si="2"/>
        <v>EMPLOYEE 40</v>
      </c>
      <c r="C41" s="3" t="str">
        <f t="shared" si="3"/>
        <v>SALES</v>
      </c>
      <c r="D41" s="3" t="str">
        <f t="shared" si="4"/>
        <v>Executive</v>
      </c>
      <c r="E41" s="3" t="str">
        <f t="shared" si="5"/>
        <v>Male</v>
      </c>
      <c r="F41" s="3">
        <f t="shared" si="6"/>
        <v>111266</v>
      </c>
      <c r="G41" s="3">
        <f t="shared" si="7"/>
        <v>88</v>
      </c>
      <c r="H41" s="3" t="str">
        <f t="shared" si="8"/>
        <v>Good</v>
      </c>
      <c r="I41" s="3">
        <f t="shared" si="9"/>
        <v>13</v>
      </c>
      <c r="J41" s="3" t="str">
        <f t="shared" si="10"/>
        <v>Biratnagar</v>
      </c>
    </row>
    <row r="42">
      <c r="A42" s="3">
        <f t="shared" si="1"/>
        <v>41</v>
      </c>
      <c r="B42" s="3" t="str">
        <f t="shared" si="2"/>
        <v>EMPLOYEE 41</v>
      </c>
      <c r="C42" s="3" t="str">
        <f t="shared" si="3"/>
        <v>HR</v>
      </c>
      <c r="D42" s="3" t="str">
        <f t="shared" si="4"/>
        <v>Officer</v>
      </c>
      <c r="E42" s="3" t="str">
        <f t="shared" si="5"/>
        <v>Male</v>
      </c>
      <c r="F42" s="3">
        <f t="shared" si="6"/>
        <v>43851</v>
      </c>
      <c r="G42" s="3">
        <f t="shared" si="7"/>
        <v>95</v>
      </c>
      <c r="H42" s="3" t="str">
        <f t="shared" si="8"/>
        <v>Average</v>
      </c>
      <c r="I42" s="3">
        <f t="shared" si="9"/>
        <v>9</v>
      </c>
      <c r="J42" s="3" t="str">
        <f t="shared" si="10"/>
        <v>Biratnagar</v>
      </c>
    </row>
    <row r="43">
      <c r="A43" s="3">
        <f t="shared" si="1"/>
        <v>42</v>
      </c>
      <c r="B43" s="3" t="str">
        <f t="shared" si="2"/>
        <v>EMPLOYEE 42</v>
      </c>
      <c r="C43" s="3" t="str">
        <f t="shared" si="3"/>
        <v>IT</v>
      </c>
      <c r="D43" s="3" t="str">
        <f t="shared" si="4"/>
        <v>Assistant</v>
      </c>
      <c r="E43" s="3" t="str">
        <f t="shared" si="5"/>
        <v>Male</v>
      </c>
      <c r="F43" s="3">
        <f t="shared" si="6"/>
        <v>60254</v>
      </c>
      <c r="G43" s="3">
        <f t="shared" si="7"/>
        <v>94</v>
      </c>
      <c r="H43" s="3" t="str">
        <f t="shared" si="8"/>
        <v>Good</v>
      </c>
      <c r="I43" s="3">
        <f t="shared" si="9"/>
        <v>9</v>
      </c>
      <c r="J43" s="3" t="str">
        <f t="shared" si="10"/>
        <v>Butwal</v>
      </c>
    </row>
    <row r="44">
      <c r="A44" s="3">
        <f t="shared" si="1"/>
        <v>43</v>
      </c>
      <c r="B44" s="3" t="str">
        <f t="shared" si="2"/>
        <v>EMPLOYEE 43</v>
      </c>
      <c r="C44" s="3" t="str">
        <f t="shared" si="3"/>
        <v>HR</v>
      </c>
      <c r="D44" s="3" t="str">
        <f t="shared" si="4"/>
        <v>Officer</v>
      </c>
      <c r="E44" s="3" t="str">
        <f t="shared" si="5"/>
        <v>Female</v>
      </c>
      <c r="F44" s="3">
        <f t="shared" si="6"/>
        <v>38129</v>
      </c>
      <c r="G44" s="3">
        <f t="shared" si="7"/>
        <v>95</v>
      </c>
      <c r="H44" s="3" t="str">
        <f t="shared" si="8"/>
        <v>Below Average</v>
      </c>
      <c r="I44" s="3">
        <f t="shared" si="9"/>
        <v>18</v>
      </c>
      <c r="J44" s="3" t="str">
        <f t="shared" si="10"/>
        <v>Pokhara</v>
      </c>
    </row>
    <row r="45">
      <c r="A45" s="3">
        <f t="shared" si="1"/>
        <v>44</v>
      </c>
      <c r="B45" s="3" t="str">
        <f t="shared" si="2"/>
        <v>EMPLOYEE 44</v>
      </c>
      <c r="C45" s="3" t="str">
        <f t="shared" si="3"/>
        <v>HR</v>
      </c>
      <c r="D45" s="3" t="str">
        <f t="shared" si="4"/>
        <v>Executive</v>
      </c>
      <c r="E45" s="3" t="str">
        <f t="shared" si="5"/>
        <v>Female</v>
      </c>
      <c r="F45" s="3">
        <f t="shared" si="6"/>
        <v>83273</v>
      </c>
      <c r="G45" s="3">
        <f t="shared" si="7"/>
        <v>94</v>
      </c>
      <c r="H45" s="3" t="str">
        <f t="shared" si="8"/>
        <v>Outstanding</v>
      </c>
      <c r="I45" s="3">
        <f t="shared" si="9"/>
        <v>18</v>
      </c>
      <c r="J45" s="3" t="str">
        <f t="shared" si="10"/>
        <v>Pokhara</v>
      </c>
    </row>
    <row r="46">
      <c r="A46" s="3">
        <f t="shared" si="1"/>
        <v>45</v>
      </c>
      <c r="B46" s="3" t="str">
        <f t="shared" si="2"/>
        <v>EMPLOYEE 45</v>
      </c>
      <c r="C46" s="3" t="str">
        <f t="shared" si="3"/>
        <v>IT</v>
      </c>
      <c r="D46" s="3" t="str">
        <f t="shared" si="4"/>
        <v>Officer</v>
      </c>
      <c r="E46" s="3" t="str">
        <f t="shared" si="5"/>
        <v>Female</v>
      </c>
      <c r="F46" s="3">
        <f t="shared" si="6"/>
        <v>55498</v>
      </c>
      <c r="G46" s="3">
        <f t="shared" si="7"/>
        <v>83</v>
      </c>
      <c r="H46" s="3" t="str">
        <f t="shared" si="8"/>
        <v>Average</v>
      </c>
      <c r="I46" s="3">
        <f t="shared" si="9"/>
        <v>5</v>
      </c>
      <c r="J46" s="3" t="str">
        <f t="shared" si="10"/>
        <v>Jhapa</v>
      </c>
    </row>
    <row r="47">
      <c r="A47" s="3">
        <f t="shared" si="1"/>
        <v>46</v>
      </c>
      <c r="B47" s="3" t="str">
        <f t="shared" si="2"/>
        <v>EMPLOYEE 46</v>
      </c>
      <c r="C47" s="3" t="str">
        <f t="shared" si="3"/>
        <v>HR</v>
      </c>
      <c r="D47" s="3" t="str">
        <f t="shared" si="4"/>
        <v>Manager</v>
      </c>
      <c r="E47" s="3" t="str">
        <f t="shared" si="5"/>
        <v>Male</v>
      </c>
      <c r="F47" s="3">
        <f t="shared" si="6"/>
        <v>43345</v>
      </c>
      <c r="G47" s="3">
        <f t="shared" si="7"/>
        <v>97</v>
      </c>
      <c r="H47" s="3" t="str">
        <f t="shared" si="8"/>
        <v>Good</v>
      </c>
      <c r="I47" s="3">
        <f t="shared" si="9"/>
        <v>1</v>
      </c>
      <c r="J47" s="3" t="str">
        <f t="shared" si="10"/>
        <v>Jhapa</v>
      </c>
    </row>
    <row r="48">
      <c r="A48" s="3">
        <f t="shared" si="1"/>
        <v>47</v>
      </c>
      <c r="B48" s="3" t="str">
        <f t="shared" si="2"/>
        <v>EMPLOYEE 47</v>
      </c>
      <c r="C48" s="3" t="str">
        <f t="shared" si="3"/>
        <v>FINANCE</v>
      </c>
      <c r="D48" s="3" t="str">
        <f t="shared" si="4"/>
        <v>Assistant</v>
      </c>
      <c r="E48" s="3" t="str">
        <f t="shared" si="5"/>
        <v>Female</v>
      </c>
      <c r="F48" s="3">
        <f t="shared" si="6"/>
        <v>50480</v>
      </c>
      <c r="G48" s="3">
        <f t="shared" si="7"/>
        <v>83</v>
      </c>
      <c r="H48" s="3" t="str">
        <f t="shared" si="8"/>
        <v>Average</v>
      </c>
      <c r="I48" s="3">
        <f t="shared" si="9"/>
        <v>4</v>
      </c>
      <c r="J48" s="3" t="str">
        <f t="shared" si="10"/>
        <v>Pokhara</v>
      </c>
    </row>
    <row r="49">
      <c r="A49" s="3">
        <f t="shared" si="1"/>
        <v>48</v>
      </c>
      <c r="B49" s="3" t="str">
        <f t="shared" si="2"/>
        <v>EMPLOYEE 48</v>
      </c>
      <c r="C49" s="3" t="str">
        <f t="shared" si="3"/>
        <v>HR</v>
      </c>
      <c r="D49" s="3" t="str">
        <f t="shared" si="4"/>
        <v>Officer</v>
      </c>
      <c r="E49" s="3" t="str">
        <f t="shared" si="5"/>
        <v>Male</v>
      </c>
      <c r="F49" s="3">
        <f t="shared" si="6"/>
        <v>85012</v>
      </c>
      <c r="G49" s="3">
        <f t="shared" si="7"/>
        <v>98</v>
      </c>
      <c r="H49" s="3" t="str">
        <f t="shared" si="8"/>
        <v>Outstanding</v>
      </c>
      <c r="I49" s="3">
        <f t="shared" si="9"/>
        <v>14</v>
      </c>
      <c r="J49" s="3" t="str">
        <f t="shared" si="10"/>
        <v>Butwal</v>
      </c>
    </row>
    <row r="50">
      <c r="A50" s="3">
        <f t="shared" si="1"/>
        <v>49</v>
      </c>
      <c r="B50" s="3" t="str">
        <f t="shared" si="2"/>
        <v>EMPLOYEE 49</v>
      </c>
      <c r="C50" s="3" t="str">
        <f t="shared" si="3"/>
        <v>MARKETING</v>
      </c>
      <c r="D50" s="3" t="str">
        <f t="shared" si="4"/>
        <v>Assistant</v>
      </c>
      <c r="E50" s="3" t="str">
        <f t="shared" si="5"/>
        <v>Female</v>
      </c>
      <c r="F50" s="3">
        <f t="shared" si="6"/>
        <v>52479</v>
      </c>
      <c r="G50" s="3">
        <f t="shared" si="7"/>
        <v>98</v>
      </c>
      <c r="H50" s="3" t="str">
        <f t="shared" si="8"/>
        <v>Average</v>
      </c>
      <c r="I50" s="3">
        <f t="shared" si="9"/>
        <v>6</v>
      </c>
      <c r="J50" s="3" t="str">
        <f t="shared" si="10"/>
        <v>Kathmandu</v>
      </c>
    </row>
    <row r="51">
      <c r="A51" s="3">
        <f t="shared" si="1"/>
        <v>50</v>
      </c>
      <c r="B51" s="3" t="str">
        <f t="shared" si="2"/>
        <v>EMPLOYEE 50</v>
      </c>
      <c r="C51" s="3" t="str">
        <f t="shared" si="3"/>
        <v>IT</v>
      </c>
      <c r="D51" s="3" t="str">
        <f t="shared" si="4"/>
        <v>Executive</v>
      </c>
      <c r="E51" s="3" t="str">
        <f t="shared" si="5"/>
        <v>Female</v>
      </c>
      <c r="F51" s="3">
        <f t="shared" si="6"/>
        <v>117663</v>
      </c>
      <c r="G51" s="3">
        <f t="shared" si="7"/>
        <v>90</v>
      </c>
      <c r="H51" s="3" t="str">
        <f t="shared" si="8"/>
        <v>Average</v>
      </c>
      <c r="I51" s="3">
        <f t="shared" si="9"/>
        <v>6</v>
      </c>
      <c r="J51" s="3" t="str">
        <f t="shared" si="10"/>
        <v>Kathmandu</v>
      </c>
    </row>
    <row r="52">
      <c r="A52" s="3">
        <f t="shared" si="1"/>
        <v>51</v>
      </c>
      <c r="B52" s="3" t="str">
        <f t="shared" si="2"/>
        <v>EMPLOYEE 51</v>
      </c>
      <c r="C52" s="3" t="str">
        <f t="shared" si="3"/>
        <v>MARKETING</v>
      </c>
      <c r="D52" s="3" t="str">
        <f t="shared" si="4"/>
        <v>Assistant</v>
      </c>
      <c r="E52" s="3" t="str">
        <f t="shared" si="5"/>
        <v>Female</v>
      </c>
      <c r="F52" s="3">
        <f t="shared" si="6"/>
        <v>52283</v>
      </c>
      <c r="G52" s="3">
        <f t="shared" si="7"/>
        <v>85</v>
      </c>
      <c r="H52" s="3" t="str">
        <f t="shared" si="8"/>
        <v>Outstanding</v>
      </c>
      <c r="I52" s="3">
        <f t="shared" si="9"/>
        <v>9</v>
      </c>
      <c r="J52" s="3" t="str">
        <f t="shared" si="10"/>
        <v>Jhapa</v>
      </c>
    </row>
    <row r="53">
      <c r="A53" s="3">
        <f t="shared" si="1"/>
        <v>52</v>
      </c>
      <c r="B53" s="3" t="str">
        <f t="shared" si="2"/>
        <v>EMPLOYEE 52</v>
      </c>
      <c r="C53" s="3" t="str">
        <f t="shared" si="3"/>
        <v>MARKETING</v>
      </c>
      <c r="D53" s="3" t="str">
        <f t="shared" si="4"/>
        <v>Officer</v>
      </c>
      <c r="E53" s="3" t="str">
        <f t="shared" si="5"/>
        <v>Male</v>
      </c>
      <c r="F53" s="3">
        <f t="shared" si="6"/>
        <v>40234</v>
      </c>
      <c r="G53" s="3">
        <f t="shared" si="7"/>
        <v>76</v>
      </c>
      <c r="H53" s="3" t="str">
        <f t="shared" si="8"/>
        <v>Good</v>
      </c>
      <c r="I53" s="3">
        <f t="shared" si="9"/>
        <v>8</v>
      </c>
      <c r="J53" s="3" t="str">
        <f t="shared" si="10"/>
        <v>Butwal</v>
      </c>
    </row>
    <row r="54">
      <c r="A54" s="3">
        <f t="shared" si="1"/>
        <v>53</v>
      </c>
      <c r="B54" s="3" t="str">
        <f t="shared" si="2"/>
        <v>EMPLOYEE 53</v>
      </c>
      <c r="C54" s="3" t="str">
        <f t="shared" si="3"/>
        <v>HR</v>
      </c>
      <c r="D54" s="3" t="str">
        <f t="shared" si="4"/>
        <v>Manager</v>
      </c>
      <c r="E54" s="3" t="str">
        <f t="shared" si="5"/>
        <v>Male</v>
      </c>
      <c r="F54" s="3">
        <f t="shared" si="6"/>
        <v>69425</v>
      </c>
      <c r="G54" s="3">
        <f t="shared" si="7"/>
        <v>78</v>
      </c>
      <c r="H54" s="3" t="str">
        <f t="shared" si="8"/>
        <v>Below Average</v>
      </c>
      <c r="I54" s="3">
        <f t="shared" si="9"/>
        <v>17</v>
      </c>
      <c r="J54" s="3" t="str">
        <f t="shared" si="10"/>
        <v>Butwal</v>
      </c>
    </row>
    <row r="55">
      <c r="A55" s="3">
        <f t="shared" si="1"/>
        <v>54</v>
      </c>
      <c r="B55" s="3" t="str">
        <f t="shared" si="2"/>
        <v>EMPLOYEE 54</v>
      </c>
      <c r="C55" s="3" t="str">
        <f t="shared" si="3"/>
        <v>IT</v>
      </c>
      <c r="D55" s="3" t="str">
        <f t="shared" si="4"/>
        <v>Executive</v>
      </c>
      <c r="E55" s="3" t="str">
        <f t="shared" si="5"/>
        <v>Male</v>
      </c>
      <c r="F55" s="3">
        <f t="shared" si="6"/>
        <v>68015</v>
      </c>
      <c r="G55" s="3">
        <f t="shared" si="7"/>
        <v>97</v>
      </c>
      <c r="H55" s="3" t="str">
        <f t="shared" si="8"/>
        <v>Average</v>
      </c>
      <c r="I55" s="3">
        <f t="shared" si="9"/>
        <v>5</v>
      </c>
      <c r="J55" s="3" t="str">
        <f t="shared" si="10"/>
        <v>Butwal</v>
      </c>
    </row>
    <row r="56">
      <c r="A56" s="3">
        <f t="shared" si="1"/>
        <v>55</v>
      </c>
      <c r="B56" s="3" t="str">
        <f t="shared" si="2"/>
        <v>EMPLOYEE 55</v>
      </c>
      <c r="C56" s="3" t="str">
        <f t="shared" si="3"/>
        <v>HR</v>
      </c>
      <c r="D56" s="3" t="str">
        <f t="shared" si="4"/>
        <v>Assistant</v>
      </c>
      <c r="E56" s="3" t="str">
        <f t="shared" si="5"/>
        <v>Male</v>
      </c>
      <c r="F56" s="3">
        <f t="shared" si="6"/>
        <v>81809</v>
      </c>
      <c r="G56" s="3">
        <f t="shared" si="7"/>
        <v>84</v>
      </c>
      <c r="H56" s="3" t="str">
        <f t="shared" si="8"/>
        <v>Good</v>
      </c>
      <c r="I56" s="3">
        <f t="shared" si="9"/>
        <v>12</v>
      </c>
      <c r="J56" s="3" t="str">
        <f t="shared" si="10"/>
        <v>Pokhara</v>
      </c>
    </row>
    <row r="57">
      <c r="A57" s="3">
        <f t="shared" si="1"/>
        <v>56</v>
      </c>
      <c r="B57" s="3" t="str">
        <f t="shared" si="2"/>
        <v>EMPLOYEE 56</v>
      </c>
      <c r="C57" s="3" t="str">
        <f t="shared" si="3"/>
        <v>IT</v>
      </c>
      <c r="D57" s="3" t="str">
        <f t="shared" si="4"/>
        <v>Manager</v>
      </c>
      <c r="E57" s="3" t="str">
        <f t="shared" si="5"/>
        <v>Male</v>
      </c>
      <c r="F57" s="3">
        <f t="shared" si="6"/>
        <v>36519</v>
      </c>
      <c r="G57" s="3">
        <f t="shared" si="7"/>
        <v>82</v>
      </c>
      <c r="H57" s="3" t="str">
        <f t="shared" si="8"/>
        <v>Average</v>
      </c>
      <c r="I57" s="3">
        <f t="shared" si="9"/>
        <v>4</v>
      </c>
      <c r="J57" s="3" t="str">
        <f t="shared" si="10"/>
        <v>Kathmandu</v>
      </c>
    </row>
    <row r="58">
      <c r="A58" s="3">
        <f t="shared" si="1"/>
        <v>57</v>
      </c>
      <c r="B58" s="3" t="str">
        <f t="shared" si="2"/>
        <v>EMPLOYEE 57</v>
      </c>
      <c r="C58" s="3" t="str">
        <f t="shared" si="3"/>
        <v>FINANCE</v>
      </c>
      <c r="D58" s="3" t="str">
        <f t="shared" si="4"/>
        <v>Analyst</v>
      </c>
      <c r="E58" s="3" t="str">
        <f t="shared" si="5"/>
        <v>Female</v>
      </c>
      <c r="F58" s="3">
        <f t="shared" si="6"/>
        <v>53352</v>
      </c>
      <c r="G58" s="3">
        <f t="shared" si="7"/>
        <v>91</v>
      </c>
      <c r="H58" s="3" t="str">
        <f t="shared" si="8"/>
        <v>Outstanding</v>
      </c>
      <c r="I58" s="3">
        <f t="shared" si="9"/>
        <v>19</v>
      </c>
      <c r="J58" s="3" t="str">
        <f t="shared" si="10"/>
        <v>Kathmandu</v>
      </c>
    </row>
    <row r="59">
      <c r="A59" s="3">
        <f t="shared" si="1"/>
        <v>58</v>
      </c>
      <c r="B59" s="3" t="str">
        <f t="shared" si="2"/>
        <v>EMPLOYEE 58</v>
      </c>
      <c r="C59" s="3" t="str">
        <f t="shared" si="3"/>
        <v>SALES</v>
      </c>
      <c r="D59" s="3" t="str">
        <f t="shared" si="4"/>
        <v>Analyst</v>
      </c>
      <c r="E59" s="3" t="str">
        <f t="shared" si="5"/>
        <v>Female</v>
      </c>
      <c r="F59" s="3">
        <f t="shared" si="6"/>
        <v>41525</v>
      </c>
      <c r="G59" s="3">
        <f t="shared" si="7"/>
        <v>90</v>
      </c>
      <c r="H59" s="3" t="str">
        <f t="shared" si="8"/>
        <v>Excellent</v>
      </c>
      <c r="I59" s="3">
        <f t="shared" si="9"/>
        <v>20</v>
      </c>
      <c r="J59" s="3" t="str">
        <f t="shared" si="10"/>
        <v>Biratnagar</v>
      </c>
    </row>
    <row r="60">
      <c r="A60" s="3">
        <f t="shared" si="1"/>
        <v>59</v>
      </c>
      <c r="B60" s="3" t="str">
        <f t="shared" si="2"/>
        <v>EMPLOYEE 59</v>
      </c>
      <c r="C60" s="3" t="str">
        <f t="shared" si="3"/>
        <v>MARKETING</v>
      </c>
      <c r="D60" s="3" t="str">
        <f t="shared" si="4"/>
        <v>Executive</v>
      </c>
      <c r="E60" s="3" t="str">
        <f t="shared" si="5"/>
        <v>Male</v>
      </c>
      <c r="F60" s="3">
        <f t="shared" si="6"/>
        <v>70845</v>
      </c>
      <c r="G60" s="3">
        <f t="shared" si="7"/>
        <v>86</v>
      </c>
      <c r="H60" s="3" t="str">
        <f t="shared" si="8"/>
        <v>Below Average</v>
      </c>
      <c r="I60" s="3">
        <f t="shared" si="9"/>
        <v>5</v>
      </c>
      <c r="J60" s="3" t="str">
        <f t="shared" si="10"/>
        <v>Jhapa</v>
      </c>
    </row>
    <row r="61">
      <c r="A61" s="3">
        <f t="shared" si="1"/>
        <v>60</v>
      </c>
      <c r="B61" s="3" t="str">
        <f t="shared" si="2"/>
        <v>EMPLOYEE 60</v>
      </c>
      <c r="C61" s="3" t="str">
        <f t="shared" si="3"/>
        <v>HR</v>
      </c>
      <c r="D61" s="3" t="str">
        <f t="shared" si="4"/>
        <v>Executive</v>
      </c>
      <c r="E61" s="3" t="str">
        <f t="shared" si="5"/>
        <v>Female</v>
      </c>
      <c r="F61" s="3">
        <f t="shared" si="6"/>
        <v>109929</v>
      </c>
      <c r="G61" s="3">
        <f t="shared" si="7"/>
        <v>94</v>
      </c>
      <c r="H61" s="3" t="str">
        <f t="shared" si="8"/>
        <v>Below Average</v>
      </c>
      <c r="I61" s="3">
        <f t="shared" si="9"/>
        <v>15</v>
      </c>
      <c r="J61" s="3" t="str">
        <f t="shared" si="10"/>
        <v>Kathmandu</v>
      </c>
    </row>
    <row r="62">
      <c r="A62" s="3">
        <f t="shared" si="1"/>
        <v>61</v>
      </c>
      <c r="B62" s="3" t="str">
        <f t="shared" si="2"/>
        <v>EMPLOYEE 61</v>
      </c>
      <c r="C62" s="3" t="str">
        <f t="shared" si="3"/>
        <v>HR</v>
      </c>
      <c r="D62" s="3" t="str">
        <f t="shared" si="4"/>
        <v>Assistant</v>
      </c>
      <c r="E62" s="3" t="str">
        <f t="shared" si="5"/>
        <v>Male</v>
      </c>
      <c r="F62" s="3">
        <f t="shared" si="6"/>
        <v>94313</v>
      </c>
      <c r="G62" s="3">
        <f t="shared" si="7"/>
        <v>92</v>
      </c>
      <c r="H62" s="3" t="str">
        <f t="shared" si="8"/>
        <v>Below Average</v>
      </c>
      <c r="I62" s="3">
        <f t="shared" si="9"/>
        <v>6</v>
      </c>
      <c r="J62" s="3" t="str">
        <f t="shared" si="10"/>
        <v>Jhapa</v>
      </c>
    </row>
    <row r="63">
      <c r="A63" s="3">
        <f t="shared" si="1"/>
        <v>62</v>
      </c>
      <c r="B63" s="3" t="str">
        <f t="shared" si="2"/>
        <v>EMPLOYEE 62</v>
      </c>
      <c r="C63" s="3" t="str">
        <f t="shared" si="3"/>
        <v>FINANCE</v>
      </c>
      <c r="D63" s="3" t="str">
        <f t="shared" si="4"/>
        <v>Assistant</v>
      </c>
      <c r="E63" s="3" t="str">
        <f t="shared" si="5"/>
        <v>Male</v>
      </c>
      <c r="F63" s="3">
        <f t="shared" si="6"/>
        <v>50159</v>
      </c>
      <c r="G63" s="3">
        <f t="shared" si="7"/>
        <v>86</v>
      </c>
      <c r="H63" s="3" t="str">
        <f t="shared" si="8"/>
        <v>Outstanding</v>
      </c>
      <c r="I63" s="3">
        <f t="shared" si="9"/>
        <v>5</v>
      </c>
      <c r="J63" s="3" t="str">
        <f t="shared" si="10"/>
        <v>Biratnagar</v>
      </c>
    </row>
    <row r="64">
      <c r="A64" s="3">
        <f t="shared" si="1"/>
        <v>63</v>
      </c>
      <c r="B64" s="3" t="str">
        <f t="shared" si="2"/>
        <v>EMPLOYEE 63</v>
      </c>
      <c r="C64" s="3" t="str">
        <f t="shared" si="3"/>
        <v>MARKETING</v>
      </c>
      <c r="D64" s="3" t="str">
        <f t="shared" si="4"/>
        <v>Assistant</v>
      </c>
      <c r="E64" s="3" t="str">
        <f t="shared" si="5"/>
        <v>Male</v>
      </c>
      <c r="F64" s="3">
        <f t="shared" si="6"/>
        <v>63755</v>
      </c>
      <c r="G64" s="3">
        <f t="shared" si="7"/>
        <v>97</v>
      </c>
      <c r="H64" s="3" t="str">
        <f t="shared" si="8"/>
        <v>Good</v>
      </c>
      <c r="I64" s="3">
        <f t="shared" si="9"/>
        <v>11</v>
      </c>
      <c r="J64" s="3" t="str">
        <f t="shared" si="10"/>
        <v>Biratnagar</v>
      </c>
    </row>
    <row r="65">
      <c r="A65" s="3">
        <f t="shared" si="1"/>
        <v>64</v>
      </c>
      <c r="B65" s="3" t="str">
        <f t="shared" si="2"/>
        <v>EMPLOYEE 64</v>
      </c>
      <c r="C65" s="3" t="str">
        <f t="shared" si="3"/>
        <v>MARKETING</v>
      </c>
      <c r="D65" s="3" t="str">
        <f t="shared" si="4"/>
        <v>Executive</v>
      </c>
      <c r="E65" s="3" t="str">
        <f t="shared" si="5"/>
        <v>Female</v>
      </c>
      <c r="F65" s="3">
        <f t="shared" si="6"/>
        <v>87843</v>
      </c>
      <c r="G65" s="3">
        <f t="shared" si="7"/>
        <v>81</v>
      </c>
      <c r="H65" s="3" t="str">
        <f t="shared" si="8"/>
        <v>Outstanding</v>
      </c>
      <c r="I65" s="3">
        <f t="shared" si="9"/>
        <v>4</v>
      </c>
      <c r="J65" s="3" t="str">
        <f t="shared" si="10"/>
        <v>Kathmandu</v>
      </c>
    </row>
    <row r="66">
      <c r="A66" s="3">
        <f t="shared" si="1"/>
        <v>65</v>
      </c>
      <c r="B66" s="3" t="str">
        <f t="shared" si="2"/>
        <v>EMPLOYEE 65</v>
      </c>
      <c r="C66" s="3" t="str">
        <f t="shared" si="3"/>
        <v>FINANCE</v>
      </c>
      <c r="D66" s="3" t="str">
        <f t="shared" si="4"/>
        <v>Analyst</v>
      </c>
      <c r="E66" s="3" t="str">
        <f t="shared" si="5"/>
        <v>Male</v>
      </c>
      <c r="F66" s="3">
        <f t="shared" si="6"/>
        <v>111037</v>
      </c>
      <c r="G66" s="3">
        <f t="shared" si="7"/>
        <v>89</v>
      </c>
      <c r="H66" s="3" t="str">
        <f t="shared" si="8"/>
        <v>Excellent</v>
      </c>
      <c r="I66" s="3">
        <f t="shared" si="9"/>
        <v>6</v>
      </c>
      <c r="J66" s="3" t="str">
        <f t="shared" si="10"/>
        <v>Kathmandu</v>
      </c>
    </row>
    <row r="67">
      <c r="A67" s="3">
        <f t="shared" si="1"/>
        <v>66</v>
      </c>
      <c r="B67" s="3" t="str">
        <f t="shared" si="2"/>
        <v>EMPLOYEE 66</v>
      </c>
      <c r="C67" s="3" t="str">
        <f t="shared" si="3"/>
        <v>HR</v>
      </c>
      <c r="D67" s="3" t="str">
        <f t="shared" si="4"/>
        <v>Assistant</v>
      </c>
      <c r="E67" s="3" t="str">
        <f t="shared" si="5"/>
        <v>Male</v>
      </c>
      <c r="F67" s="3">
        <f t="shared" si="6"/>
        <v>87090</v>
      </c>
      <c r="G67" s="3">
        <f t="shared" si="7"/>
        <v>94</v>
      </c>
      <c r="H67" s="3" t="str">
        <f t="shared" si="8"/>
        <v>Good</v>
      </c>
      <c r="I67" s="3">
        <f t="shared" si="9"/>
        <v>10</v>
      </c>
      <c r="J67" s="3" t="str">
        <f t="shared" si="10"/>
        <v>Butwal</v>
      </c>
    </row>
    <row r="68">
      <c r="A68" s="3">
        <f t="shared" si="1"/>
        <v>67</v>
      </c>
      <c r="B68" s="3" t="str">
        <f t="shared" si="2"/>
        <v>EMPLOYEE 67</v>
      </c>
      <c r="C68" s="3" t="str">
        <f t="shared" si="3"/>
        <v>MARKETING</v>
      </c>
      <c r="D68" s="3" t="str">
        <f t="shared" si="4"/>
        <v>Executive</v>
      </c>
      <c r="E68" s="3" t="str">
        <f t="shared" si="5"/>
        <v>Female</v>
      </c>
      <c r="F68" s="3">
        <f t="shared" si="6"/>
        <v>37147</v>
      </c>
      <c r="G68" s="3">
        <f t="shared" si="7"/>
        <v>85</v>
      </c>
      <c r="H68" s="3" t="str">
        <f t="shared" si="8"/>
        <v>Below Average</v>
      </c>
      <c r="I68" s="3">
        <f t="shared" si="9"/>
        <v>3</v>
      </c>
      <c r="J68" s="3" t="str">
        <f t="shared" si="10"/>
        <v>Pokhara</v>
      </c>
    </row>
    <row r="69">
      <c r="A69" s="3">
        <f t="shared" si="1"/>
        <v>68</v>
      </c>
      <c r="B69" s="3" t="str">
        <f t="shared" si="2"/>
        <v>EMPLOYEE 68</v>
      </c>
      <c r="C69" s="3" t="str">
        <f t="shared" si="3"/>
        <v>MARKETING</v>
      </c>
      <c r="D69" s="3" t="str">
        <f t="shared" si="4"/>
        <v>Analyst</v>
      </c>
      <c r="E69" s="3" t="str">
        <f t="shared" si="5"/>
        <v>Male</v>
      </c>
      <c r="F69" s="3">
        <f t="shared" si="6"/>
        <v>117403</v>
      </c>
      <c r="G69" s="3">
        <f t="shared" si="7"/>
        <v>82</v>
      </c>
      <c r="H69" s="3" t="str">
        <f t="shared" si="8"/>
        <v>Average</v>
      </c>
      <c r="I69" s="3">
        <f t="shared" si="9"/>
        <v>16</v>
      </c>
      <c r="J69" s="3" t="str">
        <f t="shared" si="10"/>
        <v>Jhapa</v>
      </c>
    </row>
    <row r="70">
      <c r="A70" s="3">
        <f t="shared" si="1"/>
        <v>69</v>
      </c>
      <c r="B70" s="3" t="str">
        <f t="shared" si="2"/>
        <v>EMPLOYEE 69</v>
      </c>
      <c r="C70" s="3" t="str">
        <f t="shared" si="3"/>
        <v>HR</v>
      </c>
      <c r="D70" s="3" t="str">
        <f t="shared" si="4"/>
        <v>Officer</v>
      </c>
      <c r="E70" s="3" t="str">
        <f t="shared" si="5"/>
        <v>Female</v>
      </c>
      <c r="F70" s="3">
        <f t="shared" si="6"/>
        <v>99153</v>
      </c>
      <c r="G70" s="3">
        <f t="shared" si="7"/>
        <v>83</v>
      </c>
      <c r="H70" s="3" t="str">
        <f t="shared" si="8"/>
        <v>Good</v>
      </c>
      <c r="I70" s="3">
        <f t="shared" si="9"/>
        <v>18</v>
      </c>
      <c r="J70" s="3" t="str">
        <f t="shared" si="10"/>
        <v>Butwal</v>
      </c>
    </row>
    <row r="71">
      <c r="A71" s="3">
        <f t="shared" si="1"/>
        <v>70</v>
      </c>
      <c r="B71" s="3" t="str">
        <f t="shared" si="2"/>
        <v>EMPLOYEE 70</v>
      </c>
      <c r="C71" s="3" t="str">
        <f t="shared" si="3"/>
        <v>FINANCE</v>
      </c>
      <c r="D71" s="3" t="str">
        <f t="shared" si="4"/>
        <v>Manager</v>
      </c>
      <c r="E71" s="3" t="str">
        <f t="shared" si="5"/>
        <v>Female</v>
      </c>
      <c r="F71" s="3">
        <f t="shared" si="6"/>
        <v>103430</v>
      </c>
      <c r="G71" s="3">
        <f t="shared" si="7"/>
        <v>95</v>
      </c>
      <c r="H71" s="3" t="str">
        <f t="shared" si="8"/>
        <v>Outstanding</v>
      </c>
      <c r="I71" s="3">
        <f t="shared" si="9"/>
        <v>5</v>
      </c>
      <c r="J71" s="3" t="str">
        <f t="shared" si="10"/>
        <v>Kathmandu</v>
      </c>
    </row>
    <row r="72">
      <c r="A72" s="3">
        <f t="shared" si="1"/>
        <v>71</v>
      </c>
      <c r="B72" s="3" t="str">
        <f t="shared" si="2"/>
        <v>EMPLOYEE 71</v>
      </c>
      <c r="C72" s="3" t="str">
        <f t="shared" si="3"/>
        <v>HR</v>
      </c>
      <c r="D72" s="3" t="str">
        <f t="shared" si="4"/>
        <v>Manager</v>
      </c>
      <c r="E72" s="3" t="str">
        <f t="shared" si="5"/>
        <v>Male</v>
      </c>
      <c r="F72" s="3">
        <f t="shared" si="6"/>
        <v>86406</v>
      </c>
      <c r="G72" s="3">
        <f t="shared" si="7"/>
        <v>90</v>
      </c>
      <c r="H72" s="3" t="str">
        <f t="shared" si="8"/>
        <v>Excellent</v>
      </c>
      <c r="I72" s="3">
        <f t="shared" si="9"/>
        <v>9</v>
      </c>
      <c r="J72" s="3" t="str">
        <f t="shared" si="10"/>
        <v>Pokhara</v>
      </c>
    </row>
    <row r="73">
      <c r="A73" s="3">
        <f t="shared" si="1"/>
        <v>72</v>
      </c>
      <c r="B73" s="3" t="str">
        <f t="shared" si="2"/>
        <v>EMPLOYEE 72</v>
      </c>
      <c r="C73" s="3" t="str">
        <f t="shared" si="3"/>
        <v>MARKETING</v>
      </c>
      <c r="D73" s="3" t="str">
        <f t="shared" si="4"/>
        <v>Officer</v>
      </c>
      <c r="E73" s="3" t="str">
        <f t="shared" si="5"/>
        <v>Male</v>
      </c>
      <c r="F73" s="3">
        <f t="shared" si="6"/>
        <v>49610</v>
      </c>
      <c r="G73" s="3">
        <f t="shared" si="7"/>
        <v>97</v>
      </c>
      <c r="H73" s="3" t="str">
        <f t="shared" si="8"/>
        <v>Average</v>
      </c>
      <c r="I73" s="3">
        <f t="shared" si="9"/>
        <v>20</v>
      </c>
      <c r="J73" s="3" t="str">
        <f t="shared" si="10"/>
        <v>Pokhara</v>
      </c>
    </row>
    <row r="74">
      <c r="A74" s="3">
        <f t="shared" si="1"/>
        <v>73</v>
      </c>
      <c r="B74" s="3" t="str">
        <f t="shared" si="2"/>
        <v>EMPLOYEE 73</v>
      </c>
      <c r="C74" s="3" t="str">
        <f t="shared" si="3"/>
        <v>HR</v>
      </c>
      <c r="D74" s="3" t="str">
        <f t="shared" si="4"/>
        <v>Executive</v>
      </c>
      <c r="E74" s="3" t="str">
        <f t="shared" si="5"/>
        <v>Male</v>
      </c>
      <c r="F74" s="3">
        <f t="shared" si="6"/>
        <v>34492</v>
      </c>
      <c r="G74" s="3">
        <f t="shared" si="7"/>
        <v>98</v>
      </c>
      <c r="H74" s="3" t="str">
        <f t="shared" si="8"/>
        <v>Below Average</v>
      </c>
      <c r="I74" s="3">
        <f t="shared" si="9"/>
        <v>3</v>
      </c>
      <c r="J74" s="3" t="str">
        <f t="shared" si="10"/>
        <v>Biratnagar</v>
      </c>
    </row>
    <row r="75">
      <c r="A75" s="3">
        <f t="shared" si="1"/>
        <v>74</v>
      </c>
      <c r="B75" s="3" t="str">
        <f t="shared" si="2"/>
        <v>EMPLOYEE 74</v>
      </c>
      <c r="C75" s="3" t="str">
        <f t="shared" si="3"/>
        <v>IT</v>
      </c>
      <c r="D75" s="3" t="str">
        <f t="shared" si="4"/>
        <v>Manager</v>
      </c>
      <c r="E75" s="3" t="str">
        <f t="shared" si="5"/>
        <v>Female</v>
      </c>
      <c r="F75" s="3">
        <f t="shared" si="6"/>
        <v>44654</v>
      </c>
      <c r="G75" s="3">
        <f t="shared" si="7"/>
        <v>88</v>
      </c>
      <c r="H75" s="3" t="str">
        <f t="shared" si="8"/>
        <v>Below Average</v>
      </c>
      <c r="I75" s="3">
        <f t="shared" si="9"/>
        <v>7</v>
      </c>
      <c r="J75" s="3" t="str">
        <f t="shared" si="10"/>
        <v>Butwal</v>
      </c>
    </row>
    <row r="76">
      <c r="A76" s="3">
        <f t="shared" si="1"/>
        <v>75</v>
      </c>
      <c r="B76" s="3" t="str">
        <f t="shared" si="2"/>
        <v>EMPLOYEE 75</v>
      </c>
      <c r="C76" s="3" t="str">
        <f t="shared" si="3"/>
        <v>IT</v>
      </c>
      <c r="D76" s="3" t="str">
        <f t="shared" si="4"/>
        <v>Executive</v>
      </c>
      <c r="E76" s="3" t="str">
        <f t="shared" si="5"/>
        <v>Female</v>
      </c>
      <c r="F76" s="3">
        <f t="shared" si="6"/>
        <v>46686</v>
      </c>
      <c r="G76" s="3">
        <f t="shared" si="7"/>
        <v>75</v>
      </c>
      <c r="H76" s="3" t="str">
        <f t="shared" si="8"/>
        <v>Below Average</v>
      </c>
      <c r="I76" s="3">
        <f t="shared" si="9"/>
        <v>4</v>
      </c>
      <c r="J76" s="3" t="str">
        <f t="shared" si="10"/>
        <v>Kathmandu</v>
      </c>
    </row>
    <row r="77">
      <c r="A77" s="3">
        <f t="shared" si="1"/>
        <v>76</v>
      </c>
      <c r="B77" s="3" t="str">
        <f t="shared" si="2"/>
        <v>EMPLOYEE 76</v>
      </c>
      <c r="C77" s="3" t="str">
        <f t="shared" si="3"/>
        <v>HR</v>
      </c>
      <c r="D77" s="3" t="str">
        <f t="shared" si="4"/>
        <v>Analyst</v>
      </c>
      <c r="E77" s="3" t="str">
        <f t="shared" si="5"/>
        <v>Male</v>
      </c>
      <c r="F77" s="3">
        <f t="shared" si="6"/>
        <v>54668</v>
      </c>
      <c r="G77" s="3">
        <f t="shared" si="7"/>
        <v>83</v>
      </c>
      <c r="H77" s="3" t="str">
        <f t="shared" si="8"/>
        <v>Good</v>
      </c>
      <c r="I77" s="3">
        <f t="shared" si="9"/>
        <v>12</v>
      </c>
      <c r="J77" s="3" t="str">
        <f t="shared" si="10"/>
        <v>Pokhara</v>
      </c>
    </row>
    <row r="78">
      <c r="A78" s="3">
        <f t="shared" si="1"/>
        <v>77</v>
      </c>
      <c r="B78" s="3" t="str">
        <f t="shared" si="2"/>
        <v>EMPLOYEE 77</v>
      </c>
      <c r="C78" s="3" t="str">
        <f t="shared" si="3"/>
        <v>MARKETING</v>
      </c>
      <c r="D78" s="3" t="str">
        <f t="shared" si="4"/>
        <v>Officer</v>
      </c>
      <c r="E78" s="3" t="str">
        <f t="shared" si="5"/>
        <v>Male</v>
      </c>
      <c r="F78" s="3">
        <f t="shared" si="6"/>
        <v>44232</v>
      </c>
      <c r="G78" s="3">
        <f t="shared" si="7"/>
        <v>85</v>
      </c>
      <c r="H78" s="3" t="str">
        <f t="shared" si="8"/>
        <v>Average</v>
      </c>
      <c r="I78" s="3">
        <f t="shared" si="9"/>
        <v>14</v>
      </c>
      <c r="J78" s="3" t="str">
        <f t="shared" si="10"/>
        <v>Pokhara</v>
      </c>
    </row>
    <row r="79">
      <c r="A79" s="3">
        <f t="shared" si="1"/>
        <v>78</v>
      </c>
      <c r="B79" s="3" t="str">
        <f t="shared" si="2"/>
        <v>EMPLOYEE 78</v>
      </c>
      <c r="C79" s="3" t="str">
        <f t="shared" si="3"/>
        <v>IT</v>
      </c>
      <c r="D79" s="3" t="str">
        <f t="shared" si="4"/>
        <v>Analyst</v>
      </c>
      <c r="E79" s="3" t="str">
        <f t="shared" si="5"/>
        <v>Male</v>
      </c>
      <c r="F79" s="3">
        <f t="shared" si="6"/>
        <v>66698</v>
      </c>
      <c r="G79" s="3">
        <f t="shared" si="7"/>
        <v>84</v>
      </c>
      <c r="H79" s="3" t="str">
        <f t="shared" si="8"/>
        <v>Good</v>
      </c>
      <c r="I79" s="3">
        <f t="shared" si="9"/>
        <v>11</v>
      </c>
      <c r="J79" s="3" t="str">
        <f t="shared" si="10"/>
        <v>Butwal</v>
      </c>
    </row>
    <row r="80">
      <c r="A80" s="3">
        <f t="shared" si="1"/>
        <v>79</v>
      </c>
      <c r="B80" s="3" t="str">
        <f t="shared" si="2"/>
        <v>EMPLOYEE 79</v>
      </c>
      <c r="C80" s="3" t="str">
        <f t="shared" si="3"/>
        <v>MARKETING</v>
      </c>
      <c r="D80" s="3" t="str">
        <f t="shared" si="4"/>
        <v>Manager</v>
      </c>
      <c r="E80" s="3" t="str">
        <f t="shared" si="5"/>
        <v>Male</v>
      </c>
      <c r="F80" s="3">
        <f t="shared" si="6"/>
        <v>37607</v>
      </c>
      <c r="G80" s="3">
        <f t="shared" si="7"/>
        <v>90</v>
      </c>
      <c r="H80" s="3" t="str">
        <f t="shared" si="8"/>
        <v>Below Average</v>
      </c>
      <c r="I80" s="3">
        <f t="shared" si="9"/>
        <v>4</v>
      </c>
      <c r="J80" s="3" t="str">
        <f t="shared" si="10"/>
        <v>Pokhara</v>
      </c>
    </row>
    <row r="81">
      <c r="A81" s="3">
        <f t="shared" si="1"/>
        <v>80</v>
      </c>
      <c r="B81" s="3" t="str">
        <f t="shared" si="2"/>
        <v>EMPLOYEE 80</v>
      </c>
      <c r="C81" s="3" t="str">
        <f t="shared" si="3"/>
        <v>FINANCE</v>
      </c>
      <c r="D81" s="3" t="str">
        <f t="shared" si="4"/>
        <v>Executive</v>
      </c>
      <c r="E81" s="3" t="str">
        <f t="shared" si="5"/>
        <v>Male</v>
      </c>
      <c r="F81" s="3">
        <f t="shared" si="6"/>
        <v>52382</v>
      </c>
      <c r="G81" s="3">
        <f t="shared" si="7"/>
        <v>91</v>
      </c>
      <c r="H81" s="3" t="str">
        <f t="shared" si="8"/>
        <v>Outstanding</v>
      </c>
      <c r="I81" s="3">
        <f t="shared" si="9"/>
        <v>13</v>
      </c>
      <c r="J81" s="3" t="str">
        <f t="shared" si="10"/>
        <v>Biratnagar</v>
      </c>
    </row>
    <row r="82">
      <c r="A82" s="3">
        <f t="shared" si="1"/>
        <v>81</v>
      </c>
      <c r="B82" s="3" t="str">
        <f t="shared" si="2"/>
        <v>EMPLOYEE 81</v>
      </c>
      <c r="C82" s="3" t="str">
        <f t="shared" si="3"/>
        <v>SALES</v>
      </c>
      <c r="D82" s="3" t="str">
        <f t="shared" si="4"/>
        <v>Executive</v>
      </c>
      <c r="E82" s="3" t="str">
        <f t="shared" si="5"/>
        <v>Male</v>
      </c>
      <c r="F82" s="3">
        <f t="shared" si="6"/>
        <v>34186</v>
      </c>
      <c r="G82" s="3">
        <f t="shared" si="7"/>
        <v>80</v>
      </c>
      <c r="H82" s="3" t="str">
        <f t="shared" si="8"/>
        <v>Excellent</v>
      </c>
      <c r="I82" s="3">
        <f t="shared" si="9"/>
        <v>6</v>
      </c>
      <c r="J82" s="3" t="str">
        <f t="shared" si="10"/>
        <v>Biratnagar</v>
      </c>
    </row>
    <row r="83">
      <c r="A83" s="3">
        <f t="shared" si="1"/>
        <v>82</v>
      </c>
      <c r="B83" s="3" t="str">
        <f t="shared" si="2"/>
        <v>EMPLOYEE 82</v>
      </c>
      <c r="C83" s="3" t="str">
        <f t="shared" si="3"/>
        <v>SALES</v>
      </c>
      <c r="D83" s="3" t="str">
        <f t="shared" si="4"/>
        <v>Manager</v>
      </c>
      <c r="E83" s="3" t="str">
        <f t="shared" si="5"/>
        <v>Female</v>
      </c>
      <c r="F83" s="3">
        <f t="shared" si="6"/>
        <v>30144</v>
      </c>
      <c r="G83" s="3">
        <f t="shared" si="7"/>
        <v>75</v>
      </c>
      <c r="H83" s="3" t="str">
        <f t="shared" si="8"/>
        <v>Good</v>
      </c>
      <c r="I83" s="3">
        <f t="shared" si="9"/>
        <v>20</v>
      </c>
      <c r="J83" s="3" t="str">
        <f t="shared" si="10"/>
        <v>Biratnagar</v>
      </c>
    </row>
    <row r="84">
      <c r="A84" s="3">
        <f t="shared" si="1"/>
        <v>83</v>
      </c>
      <c r="B84" s="3" t="str">
        <f t="shared" si="2"/>
        <v>EMPLOYEE 83</v>
      </c>
      <c r="C84" s="3" t="str">
        <f t="shared" si="3"/>
        <v>HR</v>
      </c>
      <c r="D84" s="3" t="str">
        <f t="shared" si="4"/>
        <v>Executive</v>
      </c>
      <c r="E84" s="3" t="str">
        <f t="shared" si="5"/>
        <v>Male</v>
      </c>
      <c r="F84" s="3">
        <f t="shared" si="6"/>
        <v>62851</v>
      </c>
      <c r="G84" s="3">
        <f t="shared" si="7"/>
        <v>75</v>
      </c>
      <c r="H84" s="3" t="str">
        <f t="shared" si="8"/>
        <v>Excellent</v>
      </c>
      <c r="I84" s="3">
        <f t="shared" si="9"/>
        <v>1</v>
      </c>
      <c r="J84" s="3" t="str">
        <f t="shared" si="10"/>
        <v>Pokhara</v>
      </c>
    </row>
    <row r="85">
      <c r="A85" s="3">
        <f t="shared" si="1"/>
        <v>84</v>
      </c>
      <c r="B85" s="3" t="str">
        <f t="shared" si="2"/>
        <v>EMPLOYEE 84</v>
      </c>
      <c r="C85" s="3" t="str">
        <f t="shared" si="3"/>
        <v>FINANCE</v>
      </c>
      <c r="D85" s="3" t="str">
        <f t="shared" si="4"/>
        <v>Analyst</v>
      </c>
      <c r="E85" s="3" t="str">
        <f t="shared" si="5"/>
        <v>Male</v>
      </c>
      <c r="F85" s="3">
        <f t="shared" si="6"/>
        <v>112588</v>
      </c>
      <c r="G85" s="3">
        <f t="shared" si="7"/>
        <v>81</v>
      </c>
      <c r="H85" s="3" t="str">
        <f t="shared" si="8"/>
        <v>Good</v>
      </c>
      <c r="I85" s="3">
        <f t="shared" si="9"/>
        <v>5</v>
      </c>
      <c r="J85" s="3" t="str">
        <f t="shared" si="10"/>
        <v>Kathmandu</v>
      </c>
    </row>
    <row r="86">
      <c r="A86" s="3">
        <f t="shared" si="1"/>
        <v>85</v>
      </c>
      <c r="B86" s="3" t="str">
        <f t="shared" si="2"/>
        <v>EMPLOYEE 85</v>
      </c>
      <c r="C86" s="3" t="str">
        <f t="shared" si="3"/>
        <v>MARKETING</v>
      </c>
      <c r="D86" s="3" t="str">
        <f t="shared" si="4"/>
        <v>Officer</v>
      </c>
      <c r="E86" s="3" t="str">
        <f t="shared" si="5"/>
        <v>Male</v>
      </c>
      <c r="F86" s="3">
        <f t="shared" si="6"/>
        <v>71423</v>
      </c>
      <c r="G86" s="3">
        <f t="shared" si="7"/>
        <v>80</v>
      </c>
      <c r="H86" s="3" t="str">
        <f t="shared" si="8"/>
        <v>Excellent</v>
      </c>
      <c r="I86" s="3">
        <f t="shared" si="9"/>
        <v>11</v>
      </c>
      <c r="J86" s="3" t="str">
        <f t="shared" si="10"/>
        <v>Pokhara</v>
      </c>
    </row>
    <row r="87">
      <c r="A87" s="3">
        <f t="shared" si="1"/>
        <v>86</v>
      </c>
      <c r="B87" s="3" t="str">
        <f t="shared" si="2"/>
        <v>EMPLOYEE 86</v>
      </c>
      <c r="C87" s="3" t="str">
        <f t="shared" si="3"/>
        <v>SALES</v>
      </c>
      <c r="D87" s="3" t="str">
        <f t="shared" si="4"/>
        <v>Assistant</v>
      </c>
      <c r="E87" s="3" t="str">
        <f t="shared" si="5"/>
        <v>Male</v>
      </c>
      <c r="F87" s="3">
        <f t="shared" si="6"/>
        <v>87187</v>
      </c>
      <c r="G87" s="3">
        <f t="shared" si="7"/>
        <v>85</v>
      </c>
      <c r="H87" s="3" t="str">
        <f t="shared" si="8"/>
        <v>Below Average</v>
      </c>
      <c r="I87" s="3">
        <f t="shared" si="9"/>
        <v>5</v>
      </c>
      <c r="J87" s="3" t="str">
        <f t="shared" si="10"/>
        <v>Butwal</v>
      </c>
    </row>
    <row r="88">
      <c r="A88" s="3">
        <f t="shared" si="1"/>
        <v>87</v>
      </c>
      <c r="B88" s="3" t="str">
        <f t="shared" si="2"/>
        <v>EMPLOYEE 87</v>
      </c>
      <c r="C88" s="3" t="str">
        <f t="shared" si="3"/>
        <v>IT</v>
      </c>
      <c r="D88" s="3" t="str">
        <f t="shared" si="4"/>
        <v>Manager</v>
      </c>
      <c r="E88" s="3" t="str">
        <f t="shared" si="5"/>
        <v>Male</v>
      </c>
      <c r="F88" s="3">
        <f t="shared" si="6"/>
        <v>78158</v>
      </c>
      <c r="G88" s="3">
        <f t="shared" si="7"/>
        <v>96</v>
      </c>
      <c r="H88" s="3" t="str">
        <f t="shared" si="8"/>
        <v>Outstanding</v>
      </c>
      <c r="I88" s="3">
        <f t="shared" si="9"/>
        <v>16</v>
      </c>
      <c r="J88" s="3" t="str">
        <f t="shared" si="10"/>
        <v>Butwal</v>
      </c>
    </row>
    <row r="89">
      <c r="A89" s="3">
        <f t="shared" si="1"/>
        <v>88</v>
      </c>
      <c r="B89" s="3" t="str">
        <f t="shared" si="2"/>
        <v>EMPLOYEE 88</v>
      </c>
      <c r="C89" s="3" t="str">
        <f t="shared" si="3"/>
        <v>IT</v>
      </c>
      <c r="D89" s="3" t="str">
        <f t="shared" si="4"/>
        <v>Assistant</v>
      </c>
      <c r="E89" s="3" t="str">
        <f t="shared" si="5"/>
        <v>Female</v>
      </c>
      <c r="F89" s="3">
        <f t="shared" si="6"/>
        <v>94463</v>
      </c>
      <c r="G89" s="3">
        <f t="shared" si="7"/>
        <v>99</v>
      </c>
      <c r="H89" s="3" t="str">
        <f t="shared" si="8"/>
        <v>Average</v>
      </c>
      <c r="I89" s="3">
        <f t="shared" si="9"/>
        <v>7</v>
      </c>
      <c r="J89" s="3" t="str">
        <f t="shared" si="10"/>
        <v>Butwal</v>
      </c>
    </row>
    <row r="90">
      <c r="A90" s="3">
        <f t="shared" si="1"/>
        <v>89</v>
      </c>
      <c r="B90" s="3" t="str">
        <f t="shared" si="2"/>
        <v>EMPLOYEE 89</v>
      </c>
      <c r="C90" s="3" t="str">
        <f t="shared" si="3"/>
        <v>FINANCE</v>
      </c>
      <c r="D90" s="3" t="str">
        <f t="shared" si="4"/>
        <v>Officer</v>
      </c>
      <c r="E90" s="3" t="str">
        <f t="shared" si="5"/>
        <v>Male</v>
      </c>
      <c r="F90" s="3">
        <f t="shared" si="6"/>
        <v>97585</v>
      </c>
      <c r="G90" s="3">
        <f t="shared" si="7"/>
        <v>95</v>
      </c>
      <c r="H90" s="3" t="str">
        <f t="shared" si="8"/>
        <v>Average</v>
      </c>
      <c r="I90" s="3">
        <f t="shared" si="9"/>
        <v>12</v>
      </c>
      <c r="J90" s="3" t="str">
        <f t="shared" si="10"/>
        <v>Jhapa</v>
      </c>
    </row>
    <row r="91">
      <c r="A91" s="3">
        <f t="shared" si="1"/>
        <v>90</v>
      </c>
      <c r="B91" s="3" t="str">
        <f t="shared" si="2"/>
        <v>EMPLOYEE 90</v>
      </c>
      <c r="C91" s="3" t="str">
        <f t="shared" si="3"/>
        <v>SALES</v>
      </c>
      <c r="D91" s="3" t="str">
        <f t="shared" si="4"/>
        <v>Executive</v>
      </c>
      <c r="E91" s="3" t="str">
        <f t="shared" si="5"/>
        <v>Female</v>
      </c>
      <c r="F91" s="3">
        <f t="shared" si="6"/>
        <v>100114</v>
      </c>
      <c r="G91" s="3">
        <f t="shared" si="7"/>
        <v>91</v>
      </c>
      <c r="H91" s="3" t="str">
        <f t="shared" si="8"/>
        <v>Excellent</v>
      </c>
      <c r="I91" s="3">
        <f t="shared" si="9"/>
        <v>15</v>
      </c>
      <c r="J91" s="3" t="str">
        <f t="shared" si="10"/>
        <v>Pokhara</v>
      </c>
    </row>
    <row r="92">
      <c r="A92" s="3">
        <f t="shared" si="1"/>
        <v>91</v>
      </c>
      <c r="B92" s="3" t="str">
        <f t="shared" si="2"/>
        <v>EMPLOYEE 91</v>
      </c>
      <c r="C92" s="3" t="str">
        <f t="shared" si="3"/>
        <v>FINANCE</v>
      </c>
      <c r="D92" s="3" t="str">
        <f t="shared" si="4"/>
        <v>Executive</v>
      </c>
      <c r="E92" s="3" t="str">
        <f t="shared" si="5"/>
        <v>Male</v>
      </c>
      <c r="F92" s="3">
        <f t="shared" si="6"/>
        <v>73776</v>
      </c>
      <c r="G92" s="3">
        <f t="shared" si="7"/>
        <v>87</v>
      </c>
      <c r="H92" s="3" t="str">
        <f t="shared" si="8"/>
        <v>Average</v>
      </c>
      <c r="I92" s="3">
        <f t="shared" si="9"/>
        <v>14</v>
      </c>
      <c r="J92" s="3" t="str">
        <f t="shared" si="10"/>
        <v>Jhapa</v>
      </c>
    </row>
    <row r="93">
      <c r="A93" s="3">
        <f t="shared" si="1"/>
        <v>92</v>
      </c>
      <c r="B93" s="3" t="str">
        <f t="shared" si="2"/>
        <v>EMPLOYEE 92</v>
      </c>
      <c r="C93" s="3" t="str">
        <f t="shared" si="3"/>
        <v>MARKETING</v>
      </c>
      <c r="D93" s="3" t="str">
        <f t="shared" si="4"/>
        <v>Assistant</v>
      </c>
      <c r="E93" s="3" t="str">
        <f t="shared" si="5"/>
        <v>Male</v>
      </c>
      <c r="F93" s="3">
        <f t="shared" si="6"/>
        <v>110318</v>
      </c>
      <c r="G93" s="3">
        <f t="shared" si="7"/>
        <v>97</v>
      </c>
      <c r="H93" s="3" t="str">
        <f t="shared" si="8"/>
        <v>Below Average</v>
      </c>
      <c r="I93" s="3">
        <f t="shared" si="9"/>
        <v>5</v>
      </c>
      <c r="J93" s="3" t="str">
        <f t="shared" si="10"/>
        <v>Jhapa</v>
      </c>
    </row>
    <row r="94">
      <c r="A94" s="3">
        <f t="shared" si="1"/>
        <v>93</v>
      </c>
      <c r="B94" s="3" t="str">
        <f t="shared" si="2"/>
        <v>EMPLOYEE 93</v>
      </c>
      <c r="C94" s="3" t="str">
        <f t="shared" si="3"/>
        <v>HR</v>
      </c>
      <c r="D94" s="3" t="str">
        <f t="shared" si="4"/>
        <v>Officer</v>
      </c>
      <c r="E94" s="3" t="str">
        <f t="shared" si="5"/>
        <v>Female</v>
      </c>
      <c r="F94" s="3">
        <f t="shared" si="6"/>
        <v>69738</v>
      </c>
      <c r="G94" s="3">
        <f t="shared" si="7"/>
        <v>78</v>
      </c>
      <c r="H94" s="3" t="str">
        <f t="shared" si="8"/>
        <v>Good</v>
      </c>
      <c r="I94" s="3">
        <f t="shared" si="9"/>
        <v>20</v>
      </c>
      <c r="J94" s="3" t="str">
        <f t="shared" si="10"/>
        <v>Jhapa</v>
      </c>
    </row>
    <row r="95">
      <c r="A95" s="3">
        <f t="shared" si="1"/>
        <v>94</v>
      </c>
      <c r="B95" s="3" t="str">
        <f t="shared" si="2"/>
        <v>EMPLOYEE 94</v>
      </c>
      <c r="C95" s="3" t="str">
        <f t="shared" si="3"/>
        <v>HR</v>
      </c>
      <c r="D95" s="3" t="str">
        <f t="shared" si="4"/>
        <v>Analyst</v>
      </c>
      <c r="E95" s="3" t="str">
        <f t="shared" si="5"/>
        <v>Female</v>
      </c>
      <c r="F95" s="3">
        <f t="shared" si="6"/>
        <v>61960</v>
      </c>
      <c r="G95" s="3">
        <f t="shared" si="7"/>
        <v>81</v>
      </c>
      <c r="H95" s="3" t="str">
        <f t="shared" si="8"/>
        <v>Below Average</v>
      </c>
      <c r="I95" s="3">
        <f t="shared" si="9"/>
        <v>1</v>
      </c>
      <c r="J95" s="3" t="str">
        <f t="shared" si="10"/>
        <v>Biratnagar</v>
      </c>
    </row>
    <row r="96">
      <c r="A96" s="3">
        <f t="shared" si="1"/>
        <v>95</v>
      </c>
      <c r="B96" s="3" t="str">
        <f t="shared" si="2"/>
        <v>EMPLOYEE 95</v>
      </c>
      <c r="C96" s="3" t="str">
        <f t="shared" si="3"/>
        <v>MARKETING</v>
      </c>
      <c r="D96" s="3" t="str">
        <f t="shared" si="4"/>
        <v>Officer</v>
      </c>
      <c r="E96" s="3" t="str">
        <f t="shared" si="5"/>
        <v>Male</v>
      </c>
      <c r="F96" s="3">
        <f t="shared" si="6"/>
        <v>80339</v>
      </c>
      <c r="G96" s="3">
        <f t="shared" si="7"/>
        <v>93</v>
      </c>
      <c r="H96" s="3" t="str">
        <f t="shared" si="8"/>
        <v>Excellent</v>
      </c>
      <c r="I96" s="3">
        <f t="shared" si="9"/>
        <v>19</v>
      </c>
      <c r="J96" s="3" t="str">
        <f t="shared" si="10"/>
        <v>Jhapa</v>
      </c>
    </row>
    <row r="97">
      <c r="A97" s="3">
        <f t="shared" si="1"/>
        <v>96</v>
      </c>
      <c r="B97" s="3" t="str">
        <f t="shared" si="2"/>
        <v>EMPLOYEE 96</v>
      </c>
      <c r="C97" s="3" t="str">
        <f t="shared" si="3"/>
        <v>FINANCE</v>
      </c>
      <c r="D97" s="3" t="str">
        <f t="shared" si="4"/>
        <v>Executive</v>
      </c>
      <c r="E97" s="3" t="str">
        <f t="shared" si="5"/>
        <v>Male</v>
      </c>
      <c r="F97" s="3">
        <f t="shared" si="6"/>
        <v>59001</v>
      </c>
      <c r="G97" s="3">
        <f t="shared" si="7"/>
        <v>77</v>
      </c>
      <c r="H97" s="3" t="str">
        <f t="shared" si="8"/>
        <v>Good</v>
      </c>
      <c r="I97" s="3">
        <f t="shared" si="9"/>
        <v>7</v>
      </c>
      <c r="J97" s="3" t="str">
        <f t="shared" si="10"/>
        <v>Biratnagar</v>
      </c>
      <c r="K97" s="4" t="s">
        <v>10</v>
      </c>
    </row>
    <row r="98">
      <c r="A98" s="3">
        <f t="shared" si="1"/>
        <v>97</v>
      </c>
      <c r="B98" s="3" t="str">
        <f t="shared" si="2"/>
        <v>EMPLOYEE 97</v>
      </c>
      <c r="C98" s="3" t="str">
        <f t="shared" si="3"/>
        <v>MARKETING</v>
      </c>
      <c r="D98" s="3" t="str">
        <f t="shared" si="4"/>
        <v>Assistant</v>
      </c>
      <c r="E98" s="3" t="str">
        <f t="shared" si="5"/>
        <v>Male</v>
      </c>
      <c r="F98" s="3">
        <f t="shared" si="6"/>
        <v>32448</v>
      </c>
      <c r="G98" s="3">
        <f t="shared" si="7"/>
        <v>83</v>
      </c>
      <c r="H98" s="3" t="str">
        <f t="shared" si="8"/>
        <v>Outstanding</v>
      </c>
      <c r="I98" s="3">
        <f t="shared" si="9"/>
        <v>18</v>
      </c>
      <c r="J98" s="3" t="str">
        <f t="shared" si="10"/>
        <v>Butwal</v>
      </c>
    </row>
    <row r="99">
      <c r="A99" s="3">
        <f t="shared" si="1"/>
        <v>98</v>
      </c>
      <c r="B99" s="3" t="str">
        <f t="shared" si="2"/>
        <v>EMPLOYEE 98</v>
      </c>
      <c r="C99" s="3" t="str">
        <f t="shared" si="3"/>
        <v>FINANCE</v>
      </c>
      <c r="D99" s="3" t="str">
        <f t="shared" si="4"/>
        <v>Officer</v>
      </c>
      <c r="E99" s="3" t="str">
        <f t="shared" si="5"/>
        <v>Male</v>
      </c>
      <c r="F99" s="3">
        <f t="shared" si="6"/>
        <v>69648</v>
      </c>
      <c r="G99" s="3">
        <f t="shared" si="7"/>
        <v>76</v>
      </c>
      <c r="H99" s="3" t="str">
        <f t="shared" si="8"/>
        <v>Below Average</v>
      </c>
      <c r="I99" s="3">
        <f t="shared" si="9"/>
        <v>7</v>
      </c>
      <c r="J99" s="3" t="str">
        <f t="shared" si="10"/>
        <v>Jhapa</v>
      </c>
    </row>
    <row r="100">
      <c r="A100" s="3">
        <f t="shared" si="1"/>
        <v>99</v>
      </c>
      <c r="B100" s="3" t="str">
        <f t="shared" si="2"/>
        <v>EMPLOYEE 99</v>
      </c>
      <c r="C100" s="3" t="str">
        <f t="shared" si="3"/>
        <v>SALES</v>
      </c>
      <c r="D100" s="3" t="str">
        <f t="shared" si="4"/>
        <v>Assistant</v>
      </c>
      <c r="E100" s="3" t="str">
        <f t="shared" si="5"/>
        <v>Female</v>
      </c>
      <c r="F100" s="3">
        <f t="shared" si="6"/>
        <v>80365</v>
      </c>
      <c r="G100" s="3">
        <f t="shared" si="7"/>
        <v>86</v>
      </c>
      <c r="H100" s="3" t="str">
        <f t="shared" si="8"/>
        <v>Excellent</v>
      </c>
      <c r="I100" s="3">
        <f t="shared" si="9"/>
        <v>2</v>
      </c>
      <c r="J100" s="3" t="str">
        <f t="shared" si="10"/>
        <v>Jhapa</v>
      </c>
    </row>
    <row r="101">
      <c r="A101" s="3">
        <f t="shared" si="1"/>
        <v>100</v>
      </c>
      <c r="B101" s="3" t="str">
        <f t="shared" si="2"/>
        <v>EMPLOYEE 100</v>
      </c>
      <c r="C101" s="3" t="str">
        <f t="shared" si="3"/>
        <v>SALES</v>
      </c>
      <c r="D101" s="3" t="str">
        <f t="shared" si="4"/>
        <v>Assistant</v>
      </c>
      <c r="E101" s="3" t="str">
        <f t="shared" si="5"/>
        <v>Female</v>
      </c>
      <c r="F101" s="3">
        <f t="shared" si="6"/>
        <v>66410</v>
      </c>
      <c r="G101" s="3">
        <f t="shared" si="7"/>
        <v>79</v>
      </c>
      <c r="H101" s="3" t="str">
        <f t="shared" si="8"/>
        <v>Good</v>
      </c>
      <c r="I101" s="3">
        <f t="shared" si="9"/>
        <v>20</v>
      </c>
      <c r="J101" s="3" t="str">
        <f t="shared" si="10"/>
        <v>Kathmandu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9.75"/>
  </cols>
  <sheetData>
    <row r="1"/>
    <row r="2"/>
    <row r="3"/>
    <row r="4"/>
    <row r="5"/>
    <row r="6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75"/>
    <col customWidth="1" min="3" max="3" width="18.63"/>
    <col customWidth="1" min="5" max="5" width="19.5"/>
    <col customWidth="1" min="7" max="7" width="21.75"/>
  </cols>
  <sheetData>
    <row r="1">
      <c r="A1" s="6" t="s">
        <v>17</v>
      </c>
    </row>
    <row r="3">
      <c r="A3" s="7" t="s">
        <v>18</v>
      </c>
      <c r="B3" s="8"/>
      <c r="C3" s="9" t="s">
        <v>19</v>
      </c>
      <c r="D3" s="8"/>
      <c r="E3" s="7" t="s">
        <v>20</v>
      </c>
      <c r="F3" s="8"/>
      <c r="G3" s="7" t="s">
        <v>21</v>
      </c>
    </row>
    <row r="4">
      <c r="A4" s="10">
        <v>100.0</v>
      </c>
      <c r="C4" s="11" t="str">
        <f>"Rs "&amp;TEXT(76542.23,"#,##0.00")</f>
        <v>Rs 76,542.23</v>
      </c>
      <c r="E4" s="12" t="str">
        <f>'Average Attendance by Departmen'!B7&amp;"%"</f>
        <v>86.89%</v>
      </c>
      <c r="G4" s="10" t="s">
        <v>22</v>
      </c>
    </row>
    <row r="14">
      <c r="H14" s="13" t="s">
        <v>9</v>
      </c>
      <c r="I14" s="14" t="s">
        <v>11</v>
      </c>
    </row>
    <row r="15">
      <c r="H15" s="15" t="s">
        <v>12</v>
      </c>
      <c r="I15" s="16">
        <v>19.0</v>
      </c>
    </row>
    <row r="16">
      <c r="H16" s="15" t="s">
        <v>13</v>
      </c>
      <c r="I16" s="16">
        <v>19.0</v>
      </c>
    </row>
    <row r="17">
      <c r="H17" s="15" t="s">
        <v>14</v>
      </c>
      <c r="I17" s="16">
        <v>21.0</v>
      </c>
    </row>
    <row r="18">
      <c r="H18" s="15" t="s">
        <v>15</v>
      </c>
      <c r="I18" s="16">
        <v>19.0</v>
      </c>
    </row>
    <row r="19">
      <c r="H19" s="15" t="s">
        <v>16</v>
      </c>
      <c r="I19" s="16">
        <v>22.0</v>
      </c>
    </row>
    <row r="20">
      <c r="H20" s="17" t="s">
        <v>23</v>
      </c>
      <c r="I20" s="18">
        <v>100.0</v>
      </c>
    </row>
  </sheetData>
  <mergeCells count="1">
    <mergeCell ref="A1:G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9.75"/>
  </cols>
  <sheetData>
    <row r="1"/>
    <row r="2"/>
    <row r="3"/>
    <row r="4"/>
    <row r="5"/>
    <row r="6"/>
    <row r="7"/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21.63"/>
  </cols>
  <sheetData>
    <row r="1"/>
    <row r="2"/>
    <row r="3"/>
    <row r="4"/>
    <row r="5"/>
    <row r="6"/>
    <row r="7"/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6.0"/>
  </cols>
  <sheetData>
    <row r="1"/>
    <row r="2"/>
    <row r="3"/>
    <row r="4"/>
    <row r="5"/>
    <row r="6"/>
    <row r="7"/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9.75"/>
  </cols>
  <sheetData>
    <row r="1"/>
    <row r="2"/>
    <row r="3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9.75"/>
  </cols>
  <sheetData>
    <row r="1"/>
    <row r="2"/>
    <row r="3"/>
    <row r="4"/>
    <row r="5"/>
    <row r="6"/>
  </sheetData>
  <drawing r:id="rId2"/>
</worksheet>
</file>